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 name="Sheet2" sheetId="2" r:id="rId2"/>
    <sheet name="Sheet3" sheetId="3" r:id="rId3"/>
  </sheets>
  <definedNames>
    <definedName name="_xlnm._FilterDatabase" localSheetId="0" hidden="1">Sheet1!$A$2:$L$512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<sst xmlns="http://schemas.openxmlformats.org/spreadsheetml/2006/main" count="1715" uniqueCount="1428">
  <si>
    <t>1、上海市社会保险全国统筹全险种业务“大管控”系统</t>
  </si>
  <si>
    <t>序号</t>
  </si>
  <si>
    <t>功能名称</t>
  </si>
  <si>
    <t>功能描述</t>
  </si>
  <si>
    <t>备注</t>
  </si>
  <si>
    <t>1</t>
  </si>
  <si>
    <t>城乡居民养老保险-城乡居保个人参保登记</t>
  </si>
  <si>
    <t>建设城乡居保个人参保登记事项包括人工办理,容缺受理,部平台申请,一网通办,三审,一审,二审,取消受理共8个节点，实现申请人因个人意愿需参保城乡居保，可通过一网通办、社区事务受理窗口、随申办APP、人社经办大厅（RA）渠道完成参保人的办理申请，并区级进行审核。系统需要同时收集相关经办材料，待事项完成后发起相关归档工作。
本次建设涉及人工办理,容缺受理,部平台申请,一网通办,三审,一审,二审,取消受理共计8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人工办理:申请人通过人社经办大厅（RA）渠道办理城乡居保个人参保登记业务
容缺受理:因申请人材料不齐全，业务经办人员先行受理，待后续申请人可通过网上待办或线下完成容缺材料补全。
部平台申请:申请人通过部平台渠道办理城乡居保个人参保登记业务，由经办人员进行预审并补全相关申请数据。
一网通办:申请人通过一网通办、社区事务受理窗口、随申办APP渠道办理城乡居保个人参保登记业务
三审:区中心审核人员为了完成城乡居保个人参保登记的审核，通过业务经办系统下载和校对申请材料，并核实信息和材料是否有误后提交审核结果。
一审:区中心审核人员为了完成城乡居保个人参保登记的审核，通过业务经办系统下载和校对申请材料，并核实信息和材料是否有误后提交审核结果。
二审:区中心审核人员为了完成城乡居保个人参保登记的审核，通过业务经办系统下载和校对申请材料，并核实信息和材料是否有误后提交审核结果。
取消受理：由业务经办人员发起操作取消受理事项。</t>
  </si>
  <si>
    <t>2</t>
  </si>
  <si>
    <t>城乡居民养老保险-城乡居保参保个人信息变更</t>
  </si>
  <si>
    <t>建设城乡居保参保个人信息变更事项包括人工办理,容缺受理,一审,二审,三审,取消受理共6个节点，实现参保人员因联系信息,户籍信息变更需要实现个人信息修改，可通过一网通办、社区事务受理窗口、随申办APP、人社经办大厅（RA）渠道完成城乡居保参保个人信息变更申请，并由区中心审核。系统需要同时收集相关经办材料，待事项完成后发起相关归档工作。
本次建设涉及人工办理,一审,二审,三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人工办理:申请人通过人社经办大厅（RA）渠道办理城乡居保参保个人信息变 更业务
一审:区中心审核人员为了完成城乡居保参保个人信息变更的审核，通过业务经办系统下载和校对申请材料，并核实信息和材料是否有误后提交审核结果
二审:区中心审核人员为了完成城乡居保参保个人信息变更的审核，通过业务经办系统下载和校对申请材料，并核实信息和材料是否有误后提交审核结果
三审:区中心审核人员为了完成城乡居保参保个人信息变更的审核，通过业务经办系统下载和校对申请材料，并核实信息和材料是否有误后提交审核结果
取消受理：由业务经办人员发起操作取消受理事项。</t>
  </si>
  <si>
    <t>3</t>
  </si>
  <si>
    <t>城乡居民养老保险-城乡居保人员注销登记</t>
  </si>
  <si>
    <t>建设城乡居保人员注销登记事项包括人工办理,一审,三审,二审,撤销共5个节点，实现参保人员因死亡，转移，重复参保等原因需要实现城乡居保注销，可通过社区事务受理窗口、人社经办大厅（RA）渠道完成城乡居保人员注销登记申请，并提交区中心审核。系统需要同时收集相关经办材料，待事项完成后发起相关归档工作。
本次建设涉及人工办理,一审,三审,二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人工办理:申请人通过人社经办大厅（RA）渠道办理城乡居保人员注销登记业务
一审:区中心一级审核人员为了完成城乡居保人员注销登记的审核，通过业务经办系统下载和校对申请材料，并核实信息和材料是否有误后提交审核结果
三审:区中心三级审核人员为了完成城乡居保人员注销登记的审核，通过业务经办系统下载和校对申请材料，并核实信息和材料是否有误后提交审核结果
二审:区中心二级审核人员为了完成城乡居保人员注销登记的审核，通过业务经办系统下载和校对申请材料，并核实信息和材料是否有误后提交审核结果
取消受理：由业务经办人员发起操作取消受理事项。</t>
  </si>
  <si>
    <t>4</t>
  </si>
  <si>
    <t>城乡居民养老保险-城乡居保个人退费</t>
  </si>
  <si>
    <t>建设城乡居保个人退费事项包括人工办理,一审,二审,三审,撤销共5个节点，实现参保人员因错缴，误缴或错扣等原因需要实现个人缴费退费，可通过人社经办大厅（RA）渠道完成城乡居保个人退费的办理，并。系统需要同时收集相关经办材料，待事项完成后发起相关归档工作。
本次建设涉及人工办理,一审,二审,三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人工办理:申请人通过人社经办大厅（RA）渠道办理城乡居保个人退费
一审:区中心一级审核人员为了完成城乡居保个人退费的审核，通过业务经办系统下载和校对申请材料，并核实信息和材料是否有误后提交审核结果
二审:区中心二级审核人员为了完成城乡居保个人退费的审核，通过业务经办系统下载和校对申请材料，并核实信息和材料是否有误后提交审核结果
三审:区中心三级审核人员为了完成城乡居保个人退费的审核，通过业务经办系统下载和校对申请材料，并核实信息和材料是否有误后提交审核结果
取消受理：由业务经办人员发起操作取消受理事项。</t>
  </si>
  <si>
    <t>5</t>
  </si>
  <si>
    <t>城乡居民养老保险-重残人员导入</t>
  </si>
  <si>
    <t>建设重残人员导入事项包括人工办理,窗口受理,撤销共3个节点，实现残疾人员因残疾需要实现重残代缴目的，可通过人社经办大厅（RA）渠道完成残联导入操作。系统需要同时收集相关经办材料，待事项完成后发起相关归档工作。
本次建设涉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人工办理：经办人员通过残联每月提交的文档提交导入系统</t>
  </si>
  <si>
    <t>6</t>
  </si>
  <si>
    <t>城乡居民养老保险-超龄贫困人员信息维护</t>
  </si>
  <si>
    <t>建设超龄贫困人员信息维护事项包括人工办理,撤销共2个节点，实现超龄贫困人员因到达养老年龄需要实现核定是否符合养老待遇领取条件，可通过人社经办大厅（RA）渠道完成超龄贫困人员信息维护核定操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人工办理:区级业务经办人员核定超龄贫困人员是否符合贫困养老待遇领取条件。</t>
  </si>
  <si>
    <t>7</t>
  </si>
  <si>
    <t>城乡居民养老保险-账户合并</t>
  </si>
  <si>
    <t>建设账户合并事项包括人工办理,撤销共2个节点，实现参保人因原身份证信息错误需要实现2个账户合并，可通过人社经办大厅（RA）渠道完成账户合并操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人工办理：区级经办人员通过人社经办大厅（RA）渠道办理账户合并</t>
  </si>
  <si>
    <t>8</t>
  </si>
  <si>
    <t>城乡居民养老保险-税务信息交互</t>
  </si>
  <si>
    <t>建设税务信息交互事项包括人工办理,窗口受理,撤销共3个节点，因需要发送至税务参保人员个人信息，可通过人社经办大厅（RA）渠道完成税务信息发送操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人工办理：区级经办人员通过人社经办大厅（RA）渠道操作税务信息交互</t>
  </si>
  <si>
    <t>9</t>
  </si>
  <si>
    <t>城乡居民养老保险-未参保人员导入</t>
  </si>
  <si>
    <t>建设未参保人员导入事项包括人工办理,撤销共2个节点，经办人核查未参保人员情况，可通过（RA）渠道完成未参保人员导入操作。系统需要同时收集相关经办材料，待事项完成后发起相关归档工作。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人工办理：区级经办人员通过人社经办大厅（RA）渠道导入未参保人员信息</t>
  </si>
  <si>
    <t>10</t>
  </si>
  <si>
    <t>城乡居民养老保险-未参保人员信息管理</t>
  </si>
  <si>
    <t>建设未参保人员信息管理事项包括人工办理,撤销共2个节点，业务经办人员因需要录入未参保人员个人信息的需要，可通过人社经办大厅（RA）渠道完成未参保人员信息管理操作。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人工办理：区级经办人员通过人社经办大厅（RA）渠道更新维护未参保人员信息</t>
  </si>
  <si>
    <t>11</t>
  </si>
  <si>
    <t>城乡居民养老保险-城乡居保个人特殊补缴申报</t>
  </si>
  <si>
    <t>建设城乡居保个人特殊补缴申报事项包括人工办理,窗口受理,一审,二审,三审,撤销共6个节点，实现申请人因未扣款，错扣等原因需要实现个人缴费补缴，可通过社区事务受理窗口、人社经办大厅（RA）渠道完成个人特殊补缴申报的办理。系统需要同时收集相关经办材料，待事项完成后发起相关归档工作。
本次建设涉及人工办理,一审,二审,三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人工办理:申请人通过人社经办大厅（RA）渠道办理城乡居保个人特殊补缴申报
一审:区中心一级审核人员为了完成城乡居保个人特殊补缴的审核，通过业务经办系统下载和校对申请材料，并核实信息和材料是否有误后提交审核结果
二审:区中心二级审核人员为了完成城乡城乡居保个人特殊补缴的审核，通过业务经办系统下载和校对申请材料，并核实信息和材料是否有误后提交审核结果
三审:区中心三级审核人员为了完成城乡居保个人特殊补缴的审核，通过业务经办系统下载和校对申请材料，并核实信息和材料是否有误后提交审核结果
取消受理：由业务经办人员发起操作取消受理事项。</t>
  </si>
  <si>
    <t>12</t>
  </si>
  <si>
    <t>城乡居民养老保险-城乡居保注销账户恢复</t>
  </si>
  <si>
    <t>建设城乡居保注销账户恢复事项包括人工办理,一审,二审,三审,撤销共5个节点，实现注销人员因错误人员信息需要实现账户恢复目的，可通过人社经办大厅（RA）渠道完成城乡居保注销账户恢复申请的办理，并进行审核。系统需要同时收集相关经办材料，待事项完成后发起相关归档工作。
本次建设涉及人工办理,一审,二审,三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人工办理:申请人通过人社经办大厅（RA）渠道办理城乡居保注销账户恢复
一审:区中心一级审核人员为了完成城乡居保注销账户恢复的审核，通过业务经办系统下载和校对申请材料，并核实信息和材料是否有误后提交审核结果
二审:区中心二级审核人员为了完成城乡居保注销账户恢复的审核，通过业务经办系统下载和校对申请材料，并核实信息和材料是否有误后提交审核结果
三审:区中心三级审核人员为了完成城乡居保注销账户恢复的审核，通过业务经办系统下载和校对申请材料，并核实信息和材料是否有误后提交审核结果
取消受理：由业务经办人员发起操作取消受理事项。</t>
  </si>
  <si>
    <t>13</t>
  </si>
  <si>
    <t>城乡居民养老保险-城乡居保历年利息重新结算</t>
  </si>
  <si>
    <t>建设城乡居保历年利息重新结算事项包括人工办理,撤销共2个节点，实现参保人因退费或重新恢复账户等原因需要实现重新计算个人账户利息，可通过人社经办大厅（RA）渠道完成办理。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人工办理:由业务经办人员发起操作重新计算个人账户利息。</t>
  </si>
  <si>
    <t>14</t>
  </si>
  <si>
    <t>城乡居民养老保险-城乡居保参数设置</t>
  </si>
  <si>
    <t>建设城乡居保参数设置事项包括人工办理共1个节点，实现市级业务人员因年度，缴费档次或利率需要实现业务系统参数更新，可通过人社经办大厅（RA）渠道完成操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人工办理：市级业务人员操作参数设置事项。</t>
  </si>
  <si>
    <t>15</t>
  </si>
  <si>
    <t>城乡居民养老保险-城乡居保个人账户调整</t>
  </si>
  <si>
    <t>建设城乡居保个人账户调整事项包括人工办理,一审,二审,三审,撤销共5个节点，实现参保人因老农保账户信息错误需要实现个人账户调整目的，可通过人社经办大厅（RA）渠道完成城乡居保个人账户调整的办理操作，并进行审核。系统需要同时收集相关经办材料，待事项完成后发起相关归档工作。
本次建设涉及人工办理,一审,二审,三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人工办理:申请人通过人社经办大厅（RA）渠道办理城乡居保个人账户调整业务
一审:区中心一级审核人员为了完成城乡居保个人账户调整的审核，通过业务经办系统下载和校对申请材料，并核实信息和材料是否有误后提交审核结果
二审:区中心二级审核人员为了完成城乡居保个人账户调整的审核，通过业务经办系统下载和校对申请材料，并核实信息和材料是否有误后提交审核结果
三审:区中心三级审核人员为了完成城乡居保个人账户调整的审核，通过业务经办系统下载和校对申请材料，并核实信息和材料是否有误后提交审核结果
取消受理：由业务经办人员发起操作取消受理事项。</t>
  </si>
  <si>
    <t>16</t>
  </si>
  <si>
    <t>城乡居民养老保险-城乡居保历年补缴记录拆分</t>
  </si>
  <si>
    <t>建设城乡居保历年补缴记录拆分事项包括人工办理,一审,二审,撤销共4个节点，实现参保人员因一次性补缴需要实现个人账户拆分，可通过人社经办大厅（RA）渠道完成个人账户拆分申请的办理，并审核。系统需要同时收集相关经办材料，待事项完成后发起相关归档工作。
本次建设涉及人工办理,一审,二审,取消受理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人工办理:申请人通过人社经办大厅（RA）渠道办理城乡居保历年补缴记录拆分业务
一审:区中心一级审核人员为了完成城乡居保历年补缴记录拆分的审核，通过业务经办系统下载和校对申请材料，并核实信息和材料是否有误后提交审核结果
二审:区中心二级审核人员为了完成城乡居保历年补缴记录拆分的审核，通过业务经办系统下载和校对申请材料，并核实信息和材料是否有误后提交审核结果
取消受理：由业务经办人员发起操作取消受理事项。</t>
  </si>
  <si>
    <t>17</t>
  </si>
  <si>
    <t>城乡居民养老保险-银行卡折补校验</t>
  </si>
  <si>
    <t>建设银行卡折补校验事项包括人工办理,办理,撤销共3个节点，实现经办人因银行卡未校验成功需要实现补校验，可通过人社经办大厅（RA）渠道完成办理。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人工办理:由业务经办人员发起操作进行银卡校验。</t>
  </si>
  <si>
    <t>18</t>
  </si>
  <si>
    <t>城乡居民养老保险-年处理人员结息</t>
  </si>
  <si>
    <t>建设年处理人员结息事项包括人工办理,撤销共2个节点，实现经办人因人员处理需要年处理人员结息实现，可通过人社经办大厅（RA）渠道完成年处理人员结息的操作。系统需要同时收集相关经办材料，待事项完成后发起相关归档工作。
本次建设涉及人工受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人工受理：市级经办人通过人社经办大厅（RA）渠道完成操作</t>
  </si>
  <si>
    <t>19</t>
  </si>
  <si>
    <t>城乡居民养老保险-城乡居保跨省市转出</t>
  </si>
  <si>
    <t>建设城乡居保跨省市转出事项包括人工受理,一审,撤销共3个节点，实现参保人员因在外省市养老原因需要实现转出本市参保关系和缴费信息，可通过一网通办、社区事务受理窗口、随申办APP、自助经办、人社经办大厅（RA）渠道完成申请的操作。系统需要同时收集相关经办材料，待事项完成后发起相关归档工作。
本次建设涉及人工受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人工受理：申请人城乡居保跨省市转出申请。</t>
  </si>
  <si>
    <t>20</t>
  </si>
  <si>
    <t>城乡居民养老保险-征地居转职人员注销</t>
  </si>
  <si>
    <t>建设征地居转职人员注销事项包括人工办理,撤销共2个节点，实现养老人员因征地需要实现城乡居保注销，可通过人社经办大厅（RA）渠道完成城乡居保征地人员注销操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人工办理:区级业务经办人员批量注销征地人员。</t>
  </si>
  <si>
    <t>21</t>
  </si>
  <si>
    <t>城乡居民养老保险-贫困人员导入</t>
  </si>
  <si>
    <t>建设贫困人员导入事项包括人工办理,撤销共2个节点，实现参保人员需要实现贫困人员政府代缴，可通过人社经办大厅（RA）渠道完成贫困人员信息的操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人工办理：区级业务经办人员导入贫困人员</t>
  </si>
  <si>
    <t>22</t>
  </si>
  <si>
    <t>城乡居民养老保险-贫困人员核定</t>
  </si>
  <si>
    <t>建设贫困人员核定事项包括人工办理,撤销共2个节点，经办人员批量核定贫困人员缴费人员名单，可通过人社经办大厅（RA）渠道完成核定操作，并打印核定表。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人工办理:经办人员批量核定贫困缴费人员名单</t>
  </si>
  <si>
    <t>23</t>
  </si>
  <si>
    <t>城乡居民养老保险-重残人员清退</t>
  </si>
  <si>
    <t>建设重残人员清退事项包括人工办理,受理,撤销共3个节点，经办人员清退重残人员，可通过人社经办大厅（RA）渠道完成清退操作，并打印核定表。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人工办理:经办人员清退不符条件的重残人员</t>
  </si>
  <si>
    <t>24</t>
  </si>
  <si>
    <t>城乡居民养老保险-重残人员政府代缴核定</t>
  </si>
  <si>
    <t>建设重残人员政府代缴核定事项包括人工办理,撤销共2个节点，实现参保人因重残人员需要实现政府代缴，可通过人社经办大厅（RA）渠道完成核定操作，并核定表。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人工办理：经办人员批量核定重残缴费人员名单</t>
  </si>
  <si>
    <t>25</t>
  </si>
  <si>
    <t>城乡居民养老保险-个人账户余额领取</t>
  </si>
  <si>
    <t>建设个人账户余额领取事项包括人工办理,一审,撤销共3个节点，实现参保人员因死亡注销尚未领取余额需要实现剩余余额领取，可通过人社经办大厅（RA）渠道完成个人账户余额领取的办理，并审核。系统需要同时收集相关经办材料，待事项完成后发起相关归档工作。
本次建设涉及人工办理,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人工办理:申请人通过人社经办大厅（RA）渠道办理城乡居保个人账户余额领取业务
一审：中心一级审核人员为了完成城乡居保历年补缴记录拆分的审核，通过业务经办系统下载和校对申请材料，并核实信息和材料是否有误后提交审核结果</t>
  </si>
  <si>
    <t>26</t>
  </si>
  <si>
    <t>城乡居民养老保险-外省市转入城乡居保转入发函</t>
  </si>
  <si>
    <t>建设外省市转入城乡居保转入发函事项包括人工受理,网上申请,一审,撤销共4个节点，实现参保人员因本市养老需要实现外省市缴费转入，可通过一网通办、人社经办大厅（RA）渠道完成外省市转入城乡居保转入发函申请的办理。系统需要同时收集相关经办材料，待事项完成后发起相关归档工作。
本次建设涉及人工受理,网上申请,一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人工受理:申请人通过人社经办大厅（RA）渠道办理外省市转入城乡居保转入发函业务
网上申请:申请人通过一网通办渠道办理外省市转入城乡居保转入发函业务
一审：中心一级审核人员为了完成外省市转入城乡居保转入发函的审核，通过业务经办系统下载和校对申请材料，并核实信息和材料是否有误后提交审核结果</t>
  </si>
  <si>
    <t>27</t>
  </si>
  <si>
    <t>城乡居民养老保险-外省市转入城乡居保转入确认</t>
  </si>
  <si>
    <t>建设外省市转入城乡居保转入确认事项包括人工受理,一审,二审,撤销共4个节点，经办人通过收到外省市转出核定表进后，可通过人社经办大厅（RA）渠道外省市转入城乡居保转入确认完成操作。系统需要同时收集相关经办材料，待事项完成后发起相关归档工作。
本次建设涉及人工受理,一审,二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人工受理:申请人通过人社经办大厅（RA）渠道办理外省市转入城乡居保转入确认业务
一审:中心一级审核人员为了完成外省市转入城乡居保转入确认的审核，通过业务经办系统下载和校对申请材料，并核实信息和材料是否有误后提交审核结果
二审:中心二级审核人员为了完成外省市转入城乡居保转入确认的审核，通过业务经办系统下载和校对申请材料，并核实信息和材料是否有误后提交审核结果</t>
  </si>
  <si>
    <t>28</t>
  </si>
  <si>
    <t>城乡居民养老保险-城乡居保支付不成功台账管理</t>
  </si>
  <si>
    <t>建设城乡居保支付不成功台账管理事项包括人工受理,一审,撤销共3个节点，实现申请人因待遇支付不成功需要实现待遇再支付，可通过人社经办大厅（RA）渠道完成的办理，并支付。系统需要同时收集相关经办材料，待事项完成后发起相关归档工作。
本次建设涉及人工受理,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人工受理:申请人通过人社经办大厅（RA）渠道办理城乡居保支付不成功台账业务
一审：中心一级审核人员为了完成城乡居保支付不成功台账管理的审核，通过业务经办系统下载和校对申请材料，并核实信息和材料是否有误后提交审核结果</t>
  </si>
  <si>
    <t>29</t>
  </si>
  <si>
    <t>城乡居民养老保险-城乡居保异地转移收入处理</t>
  </si>
  <si>
    <t>建设城乡居保异地转移收入处理事项包括人工受理,一审,撤销共3个节点，实现参保人因外省市基金转入需要实现记账，可通过人社经办大厅（RA）渠道完成办理，并记账。系统需要同时收集相关经办材料，待事项完成后发起相关归档工作。
本次建设涉及人工受理,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人工受理:申请人通过人社经办大厅（RA）渠道办理城乡居保异地转移收入处理
一审:中心一级审核人员为了完成城乡居保异地转移收入处理的审核，通过业务经办系统下载和校对申请材料，并核实信息和材料是否有误后提交审核结果</t>
  </si>
  <si>
    <t>30</t>
  </si>
  <si>
    <t>城乡居民养老保险-城乡居保折算账户变更</t>
  </si>
  <si>
    <t>建设城乡居保折算账户变更事项包括人工办理,一审,撤销共3个节点，实现申请人因调整老农保账户需要重新折算的目的，可通过人社经办大厅（RA）渠道完成操作，并审核。系统需要同时收集相关经办材料，待事项完成后发起相关归档工作。
本次建设涉及人工办理,一审,取消受理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人工办理:申请人通过人社经办大厅（RA）渠道办理城乡居保折算账户变更
一审:中心一级审核人员为了完成城乡居保折算账户变更的审核，通过业务经办系统下载和校对申请材料，并核实信息和材料是否有误后提交审核结果
取消受理：由业务经办人员发起操作取消受理事项。</t>
  </si>
  <si>
    <t>31</t>
  </si>
  <si>
    <t>城乡居民养老保险-个人信息综合查询</t>
  </si>
  <si>
    <t>查询非农商行卡折人员，查询已转出人员明细信息，税务扣款信息查询，城乡居保网络平台申请信息查询,村委已参保缴费查询,村居委人员查询,集体缴费信息查询,当年停缴人员查询，失保信息查询，重复缴费清退查询，参保人员查询，贫困人员缴费查询，给付个人账户基本信息查询，查询老农保缴费个人账户，新农保养老个人账户基本信息查询，预折算信息查询</t>
  </si>
  <si>
    <t>32</t>
  </si>
  <si>
    <t>城乡居民养老保险-税务退费确认</t>
  </si>
  <si>
    <t>建设税务退费确认事项包括人工办理,一审,撤销共3个节点，实现参保人因参保人员需要实现退费目的，可通过人社经办大厅（RA）渠道完成申请操作。系统需要同时收集相关经办材料，待事项完成后发起相关归档工作。
本次建设涉及人工办理,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人工办理:申请人通过人社经办大厅（RA）渠道办税务退费确认
一审：中心一级审核人员为了完成税务退费确认的审核，通过业务经办系统下载和校对申请材料，并核实信息和材料是否有误后提交审核结果</t>
  </si>
  <si>
    <t>33</t>
  </si>
  <si>
    <t>城乡居民养老保险-税务退费再支付确认</t>
  </si>
  <si>
    <t>建设税务退费再支付确认事项包括人工办理,一审,撤销共3个节点，实现税务的退费不成功后修改银行后进行再次重新支付退费申请审核。系统需要同时收集相关经办材料，待事项完成后发起相关归档工作。
本次建设涉及人工办理,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</si>
  <si>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34</t>
  </si>
  <si>
    <t>城乡居民养老保险-城乡居保领取人变更</t>
  </si>
  <si>
    <t>建设城乡居保领取人变更事项包括人工办理,一审,撤销共3个节点，实现城乡居保参保人员因死亡其家属办理注销登记后，其领取人信息发生变化的，领取人到就近街道（镇、乡）社区事务受理服务中心进行变更申请。系统需要同时收集相关经办材料，待事项完成后发起相关归档工作。
本次建设涉及人工办理,一审,取消受理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</si>
  <si>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35</t>
  </si>
  <si>
    <t>城乡居民养老保险-养老到龄预告</t>
  </si>
  <si>
    <t>建设养老到龄预告事项包括人工办理,窗口受理,撤销共3个节点，实现提醒参保人员按时领取养老待遇、及时办理待遇申领手续，服务中心可通过信息系统查询，生成即将到达或已经到达城乡居民养老保险待遇领取年龄、未办理领取养老待遇手续的参保人员名单，打印待遇领取告知单，邮寄或交村（居）协办员送交参保人员,或短信通知。系统需要同时收集相关经办材料，待事项完成后发起相关归档工作。
本次建设涉及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</si>
  <si>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36</t>
  </si>
  <si>
    <t>城乡居民养老保险-城乡居保养老待遇申领</t>
  </si>
  <si>
    <t>建设城乡居保养老待遇申领事项包括人工办理,容缺受理,部平台申请,一网通办,审核,二审,一审,三审,撤销共9个节点，实现参加城乡居民养老保险的本市户籍居民、持有《外国人永久居留证》在上海居住的外国人（以下简称永居外国人），到达城乡居保养老金领取年龄，且符合养老金领取条件的，携带本人有效身份证件到就近街道（镇、乡）社区事务受理服务中心（以下简称社区服务中心）提出领取城乡居保养老金申请。系统需要同时收集相关经办材料，待事项完成后发起相关归档工作。
本次建设涉及人工办理,容缺受理,部平台申请,一网通办,二审,一审,三审,取消受理共计8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</si>
  <si>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37</t>
  </si>
  <si>
    <t>城乡居民养老保险-城乡居保待遇暂停发放</t>
  </si>
  <si>
    <t>建设城乡居保待遇暂停发放事项包括人工办理,容缺受理,一网通办,一审,撤销共5个节点，实现1、应暂停发放养老金的待遇领取人员或其家属，携带本人有效身份证件到就近街镇社区事务受理服务中心提出暂停发放申请；2、区经办机构对疑似重复领取养老待遇，司法部门提供名单的服刑、失踪人员，按规定直接进行暂停发放操作。系统需要同时收集相关经办材料，待事项完成后发起相关归档工作。
本次建设涉及人工办理,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</si>
  <si>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38</t>
  </si>
  <si>
    <t>城乡居民养老保险-城乡居保待遇恢复发放</t>
  </si>
  <si>
    <t>建设城乡居保待遇恢复发放事项包括人工办理,一审,二审,三审,撤销共5个节点，实现暂停养老待遇的人员，符合待遇领取条件后，携带本人有效身份证件到就近街镇社区服务中心提出城乡居保待遇恢复发放申请。系统需要同时收集相关经办材料，待事项完成后发起相关归档工作。
本次建设涉及人工办理,一审,二审,三审,取消受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</si>
  <si>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39</t>
  </si>
  <si>
    <t>城乡居民养老保险-城乡居保待遇返还</t>
  </si>
  <si>
    <t>建设城乡居保待遇返还事项包括人工办理,撤销共2个节点，实现对于冒领养老金的人员，应追回被冒领的养老金，可选择分期还款或者一次性还款。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</si>
  <si>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40</t>
  </si>
  <si>
    <t>城乡居民养老保险-注销登记（未清算）</t>
  </si>
  <si>
    <t>建设注销登记（未清算）事项包括人工办理,撤销共2个节点，实现对于在公安死亡库的养老人员，单个操作待遇暂停。系统需要同时收集相关经办材料，待事项完成后发起相关归档工作。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</si>
  <si>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41</t>
  </si>
  <si>
    <t>城乡居民养老保险-城乡居保养老待遇清算</t>
  </si>
  <si>
    <t>建设城乡居保养老待遇清算事项包括人工办理,撤销共2个节点，实现女性务工人员55周岁养老人员，在到达60周岁重新核发养老金。系统需要同时收集相关经办材料，待事项完成后发起相关归档工作。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</si>
  <si>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42</t>
  </si>
  <si>
    <t>城乡居民养老保险-城乡居保养老转缴费</t>
  </si>
  <si>
    <t>建设城乡居保养老转缴费事项包括人工办理,一审,二审,撤销共4个节点，实现城乡居保已养老人员，因错误核定等原因，需要将养老人员转成缴费人员，申请人携带本人有效身份证件到原待遇申领的街镇社区服务中心提出城乡居保养老转缴费申请。系统需要同时收集相关经办材料，待事项完成后发起相关归档工作。
本次建设涉及人工办理,一审,二审,取消受理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</si>
  <si>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43</t>
  </si>
  <si>
    <t>城乡居民养老保险-城乡居保待遇发放</t>
  </si>
  <si>
    <t>建设城乡居保待遇发放事项包括人工办理,窗口受理,撤销共3个节点，实现每月10日为全市城乡居保养老金统一发放日；每月25日进行个人账户余额、丧葬补助金等的发放，以及发放不成功的再支付。上述日期逢国定节假日提前。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</si>
  <si>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44</t>
  </si>
  <si>
    <t>城乡居民养老保险-业务查询服务</t>
  </si>
  <si>
    <t>委托发放信息查询、支付失败人员清单、查询扣款不成功清单、城乡居保支付不成功台账查询、税务征集信息查询、业务操作轨迹查询、应补发信息查询</t>
  </si>
  <si>
    <t>45</t>
  </si>
  <si>
    <t>城乡居民养老保险-城乡居保养老待遇调整</t>
  </si>
  <si>
    <t>建设城乡居保养老待遇调整事项包括人工办理,一审,二审,三审,撤销共5个节点，实现待遇领取人员对待遇领取标准有异议或有补缴费（应缴未缴/漏缴/错缴）、城镇保账户补衔接等情况的， 携带本人有效身份证件到原申领待遇的服务中心提出城乡居保养老待遇调整申请。系统需要同时收集相关经办材料，待事项完成后发起相关归档工作。
本次建设涉及人工办理,一审,二审,三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</si>
  <si>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46</t>
  </si>
  <si>
    <t>城乡居民养老保险-城乡居保领取人信息变更</t>
  </si>
  <si>
    <t>建设城乡居保领取人信息变更事项包括人工办理,撤销共2个节点，实现城乡居保参保人员因死亡其家属办理注销登记后，其领取人信息发生变化的，领取人到就近街道（镇、乡）社区事务受理服务中心进行变更申请，或通过移动端APP等网上渠道进行领取人信息变更。系统需要同时收集相关经办材料，待事项完成后发起相关归档工作。
本次建设涉及人工办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</si>
  <si>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47</t>
  </si>
  <si>
    <t>城乡居民养老保险-成批注销登记（未清算）</t>
  </si>
  <si>
    <t>建设注销账户（未清算）恢复事项包括人工办理,一审,二审,三审,撤销共5个节点，实现对于在公安死亡库的养老人员，成批操作待遇暂停。系统需要同时收集相关经办材料，待事项完成后发起相关归档工作。
本次建设涉及人工办理,一审,二审,三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</si>
  <si>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48</t>
  </si>
  <si>
    <t>城乡居民养老保险-业务打印服务</t>
  </si>
  <si>
    <t>资金付款汇总表打印、支付汇总表打印、城乡居保待遇返还告知书打印，打印个人业务申请表或业务审核表,发放情况反馈表打印，农保调整信息查询打印，城乡居保权益单打印</t>
  </si>
  <si>
    <t>49</t>
  </si>
  <si>
    <t>城乡居民养老保险-注销账户（未清算）恢复</t>
  </si>
  <si>
    <t>建设注销账户（未清算）恢复事项包括人工办理,一审,二审,三审,撤销共5个节点，实现对于恢复暂停的养老人员的账户恢复。系统需要同时收集相关经办材料，待事项完成后发起相关归档工作。
本次建设涉及人工办理,一审,二审,三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</si>
  <si>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50</t>
  </si>
  <si>
    <t>城乡居民养老保险-资格认证待核查人员信息处理（城乡居保）</t>
  </si>
  <si>
    <t>建设资格认证待核查人员信息处理（城乡居保）事项,涉及系统办理共1个节点的梳理，相关数据库表和原子业务的对接重构。实现定期下发丧失领取待遇资格人员名单和待核实人员名单</t>
  </si>
  <si>
    <t>51</t>
  </si>
  <si>
    <t>城乡居民养老保险-资格认证结果接收（城乡居保）</t>
  </si>
  <si>
    <t>建设资格认证结果接收（城乡居保）事项,涉及系统办理共1个节点的梳理，相关数据库表和原子业务的对接重构。实现市经办机构通过人社部参保待遇状态比对查询系统，及时下载人社部定期下发的国家人口库、铁路和民航乘客信息库、出入境人员信息库等部级比对数据。定期或不定期与本市公安、民政、医保、司法、法院等部门进行信息比对</t>
  </si>
  <si>
    <t>52</t>
  </si>
  <si>
    <t>城乡居民养老保险-认证标识维护（城乡居保）</t>
  </si>
  <si>
    <t>建设认证标识维护（城乡居保）事项,涉及系统办理共1个节点的梳理，相关数据库表和原子业务的对接重构。实现维护资格认证人员名单</t>
  </si>
  <si>
    <t>53</t>
  </si>
  <si>
    <t>城乡居民养老保险-享受本市待遇人员信息比对（城乡居保）</t>
  </si>
  <si>
    <t>建设享受本市待遇人员信息比对（城乡居保）事项,涉及系统办理共1个节点的梳理，相关数据库表和原子业务的对接重构。实现市经办机构整合信息比对结果，形成具备领取待遇资格人员名单、丧失领取待遇资格人员名单和待核实人员名单。</t>
  </si>
  <si>
    <t>54</t>
  </si>
  <si>
    <t>城乡居民养老保险-个人养老金缴费与人员年龄分布综合统计​</t>
  </si>
  <si>
    <t>指标枚举包含年龄、开户银行类型、指标编码、代码、当年缴费金额人数分布、当年人均缴费金额、历年累计缴费金额人数分布、历年累计人均缴费金额。该表整合了当年及历年个人养老金缴费数据，既呈现缴费人员年龄分布特征，又涵盖不同开户银行类型下的人均缴费金额与人数分布，为分析个人养老金缴费结构、人群偏好及趋势变化提供全面的数据支撑，助力政策制定与养老金融服务优化。</t>
  </si>
  <si>
    <t>55</t>
  </si>
  <si>
    <t>城乡居民养老保险-个人养老金缴费关联关系分析（职保与城乡居保维度）​</t>
  </si>
  <si>
    <t>指标枚举包含职保缴费指数、城乡居保缴费档次、职保缴费人数、城乡居保缴费人数、当年缴费金额人数分布、合计、参保比例等内容。该表从职工基本养老保险（职保）和城乡居民基本养老保险（城乡居保）两个维度，呈现参保人员缴费金额与职保缴费指数、城乡居保缴费档次的关系，通过多方面数据的整合，为分析个人养老金参保缴费特征、不同保险类型的缴费情况以及参保比例等提供了综合性的数据依据，有助于相关部门了解参保人员的缴费行为，完善个人养老金制度及优化养老保险体系。</t>
  </si>
  <si>
    <t>56</t>
  </si>
  <si>
    <t>城乡居民养老保险-个人养老金账户及月度基本缴费情况统计</t>
  </si>
  <si>
    <t>呈现个人养老金账户开立情况，包括不同证件类型的历年累计开户数，以及个人养老金账户和资金账户的开立人数；详细记录缴费相关数据，如当年和历年累计的缴费人数、金额及缴费比例；还涵盖待遇领取数据，包括待遇领取人数和累计待遇领取总金额。这些数据为个人养老金业务的管理、政策制定以及业务发展分析提供了全方位的数据支持，有助于深入了解个人养老金的整体情况，优化相关业务流程和政策。</t>
  </si>
  <si>
    <t>57</t>
  </si>
  <si>
    <t>城乡居民养老保险-城乡居民基本养老保险全业务情况统计</t>
  </si>
  <si>
    <t>在参保与人员结构方面，涵盖区县参保人数、缴费人数、养老人数，以及特殊群体（港澳台、永居外国人等）参保情况，同时细分年龄区间、性别分布；缴费数据上，包含个人、集体、政府缴费金额，退费情况，缴费档次选择及扣缴类型；待遇发放层面，记录实际发放人数、金额、待遇水平及委托代发信息；账户管理部分，呈现缴费与养老账户的变更、终止情况；此外，还涉及保险关系转移衔接、业务财务对账，以及女性务工、重残低保等特殊人群的参保与待遇数据。这些数据全方位呈现城乡居民基本养老保险运行全貌，为政策评估、资金调配、服务优化提供一站式数据支撑。</t>
  </si>
  <si>
    <t>58</t>
  </si>
  <si>
    <t>城乡居民养老保险-征地项目办理及落实保障情况统计</t>
  </si>
  <si>
    <t>在项目办理方面，“新项目” 与 “老项目” 分别通过办理情况表和项目明细表，呈现办理进度与项目具体信息；时间周期上，有月度统计的征地落实保障月报表，也有季度统计的本市征地数据报表；数据内容涵盖区县信息、参保人员数量、养老金水平等，如管 3 表统计区县报告期末原镇保养老人员人数与当月平均养老金，市人社统 30 号表记录办理征地落实保障领取职保养老金待遇的人数和月平均养老金情况。这些数据全面反映征地保障工作的推进、社保业务的开展及养老金待遇落实状况，为政策制定、业务管理提供有力的数据支撑。</t>
  </si>
  <si>
    <t>59</t>
  </si>
  <si>
    <t>城乡居民养老保险-养老人员分布与征地养老月变更情况统计</t>
  </si>
  <si>
    <t>空间上，通过 “区县”“乡镇”“单位” 等层级，实现从宏观区域到微观组织的立体覆盖；人员结构方面，依托 “年龄”“性别” 两项指标，精准呈现养老人员的年龄分层与性别分布，便于剖析不同群体特征；动态变化数据则涵盖 “当月网上发放人数”“当月正常发放人数” 等 24 项具体指标，细致记录征地养老人员每月的各类变动情况，包括资金发放、人员状态调整等。这些数据相互交织，为社保中心统筹资源分配、优化养老服务、制定精准政策提供了全景式数据支撑，助力提升征地养老工作的管理效能与服务质量。</t>
  </si>
  <si>
    <t>60</t>
  </si>
  <si>
    <t>城乡居民养老保险-征地养老待遇及人员信息</t>
  </si>
  <si>
    <t>记录了征地养老人员的个人基础信息，如姓名、年龄、性别、户籍等；征地养老待遇信息，包括待遇金额、待遇发放方式、待遇调整情况等；征地养老人员的参保信息，如参保时间、参保状态等；征地养老人员的就业和生活情况等。通过对这些信息的汇总统计，能全面反映征地养老人员的基本状况和待遇落实情况，便于相关部门掌握征地养老人员的信息，进行精准管理和服务，以及对征地养老政策的评估和调整。</t>
  </si>
  <si>
    <t>61</t>
  </si>
  <si>
    <t>城乡居民养老保险-城乡居保缴费及各险种参保特征统计</t>
  </si>
  <si>
    <t>从地域视角，以 “区县” 为单位，展现城乡居保缴费在各区域的差异，“已缴费人数”“未缴费人数” 等数据直观反映参保进度与覆盖率；人员构成方面，涵盖性别、户籍、国籍等维度，“各险种性别及户籍情况” 剖析不同险种参保人员的性别与户籍分布，“外国人参保情况” 细化境外人员在大陆参保的险种与人数；缴费动态上，“缴费基数情况” 通过 “当月缴费人员”“当年缴费人员” 等指标，呈现缴费人员数量变化。这些数据相互交织，为社保中心掌握参保全貌、分析参保结构、优化政策制定、保障基金稳定运行提供全面且精准的数据支持。</t>
  </si>
  <si>
    <t>62</t>
  </si>
  <si>
    <t>城乡居民养老保险-城乡居民基本养老保险综合信息</t>
  </si>
  <si>
    <t>主要涵盖居保人员参保的各类信息，包括居保人员基本信息、参保缴费信息（如缴费金额、缴费时间等）、账户信息（账户记帐信息、账户累计情况信息，如账户余额、利息等）、养老待遇信息（城乡居民养老待遇基本信息、养老待遇发放信息，如待遇发放标准、发放时间等）、补贴领取信息（获取居民的缴费、补贴领取情况）以及委托发放信息（城乡居保委托发放数据，如委托发放机构、发放方式等）。这些信息整合后，能全面反映城乡居民居保人员从参保、账户记账、待遇发放到补贴领取及委托发放的全流程情况，便于相关部门对城乡居民养老保险业务的管理和监控，为居保政策的评估和调整提供详细的数据支持，也方便对居保人员权益的保障和服务。</t>
  </si>
  <si>
    <t>63</t>
  </si>
  <si>
    <t>失保业务</t>
  </si>
  <si>
    <t>失保业务-申请领取失业保险金</t>
  </si>
  <si>
    <t>建设申请领取失业保险金事项功能。包含申请、审核，支持网上申领、柜台申领，节点内共设置业务校验、查询、申请信息选择或录入、经办审核功能。建设失业人员多渠道申请功能，包括一网通办平台申请、随申办移动端（小程序、APP）申请、社区事物受理系统申请、人社部部平台申请信息下载和处理。</t>
  </si>
  <si>
    <t>64</t>
  </si>
  <si>
    <t>失保业务-银行账号登记管理</t>
  </si>
  <si>
    <t>建设内容包括1、个人银行账号登记事项功能（内设置查询社保卡银行卡账号信息、校验银行账号信息、保存银行账号信息功能）。2、亲属银行账号维护，建设亲属银行账号维护事项功能。包含亲属银行账号维护业务校验、亲属银行账号信息查询、亲属银行账号校验、亲属银行账号保存功能。</t>
  </si>
  <si>
    <t>65</t>
  </si>
  <si>
    <t>失保业务-申请大龄失业就业岗位补贴</t>
  </si>
  <si>
    <t>建设申请大龄失业就业岗位补贴事项功能。支持网上申请、柜面申请，包含申请、审核共两个节点，节点内共设置申请大龄失业就业岗位补贴业务校验、申请信息查询、申请信息选择或录入、申请信息经办审核、暂停信息查询、暂停信息选择或录入、暂停经办审核功能。</t>
  </si>
  <si>
    <t>66</t>
  </si>
  <si>
    <t>失保业务-申请就业困难人员灵活就业社会保险费补贴</t>
  </si>
  <si>
    <t>建设申请就业困难人员灵活就业社会保险费补贴事项功能。包含申请、审核共两个节点，节点内共设置申请就业困难人员灵活就业社会保险费补贴业务校验、申请信息查询、申请信息选择或录入、申请信息经办审核、暂停信息查询、暂停信息选择或录入、暂停经办审核功能。</t>
  </si>
  <si>
    <t>67</t>
  </si>
  <si>
    <t>失保业务-申请协保人员就业岗位补贴</t>
  </si>
  <si>
    <t>建设申请协保人员就业岗位补贴事项功能。包含申请、审核共两个节点，节点内共设置申请协保人员就业岗位补贴业务校验、申请信息查询、申请信息选择或录入、经办审核功能。</t>
  </si>
  <si>
    <t>68</t>
  </si>
  <si>
    <t>失保业务-申请丧葬补助金和抚恤金</t>
  </si>
  <si>
    <t>建设申请丧葬补助金和抚恤金事项功能。包含申请、审核共两个节点，节点内共设置申请丧葬补助金和抚恤金业务校验、申请信息查询、相关证照查询、比对系统数据查询、申请信息选择或录入、经办审核功能。</t>
  </si>
  <si>
    <t>69</t>
  </si>
  <si>
    <t>失保业务-申请领取延长失业保险金</t>
  </si>
  <si>
    <t>建设申请领取延长失业保险金事项功能。包含申请、审核共两个节点，节点内共设置申请领取延长失业保险金业务校验、申请信息查询、申请信息选择或录入、经办审核功能。</t>
  </si>
  <si>
    <t>70</t>
  </si>
  <si>
    <t>失保业务-申请失业补助金(农民职工)</t>
  </si>
  <si>
    <t>建设申请失业补助金(农民职工)事项功能。包含申请、审核共两个节点，节点内共设置申请失业补助金(农民职工)业务校验、申请信息查询、申请信息选择或录入、经办审核功能。</t>
  </si>
  <si>
    <t>71</t>
  </si>
  <si>
    <t>失保业务-缴纳社会保险费情况登记</t>
  </si>
  <si>
    <t>建设缴纳社会保险费情况登记事项功能。包含缴纳社会保险费情况登记业务校验、申请信息查询、申请信息选择或录入功能。</t>
  </si>
  <si>
    <t>72</t>
  </si>
  <si>
    <t>失保业务-人社部跨省市转入</t>
  </si>
  <si>
    <t>建设人社部跨省市转入事项功能。包含部平台转入申请信息下载、转入申请审核、转入联系函上传、外省市转入信息表下载、外省市转入信息表拒绝、外省市转入信息表确认、转入票据查询、转入票据登记、转入办结、跨省市转入查询功能。</t>
  </si>
  <si>
    <t>73</t>
  </si>
  <si>
    <t>失保业务-人社部跨省市转出</t>
  </si>
  <si>
    <t>建设人社部跨省市转出事项功能。包括部平台转出联系函下载、跨省市转出受理、转出联系函拒绝、跨省市转出初审、跨省市转出复审、跨省市转出拒绝、转出信息表状态下载、转出信息表修改、信息表打印、拒绝转出、信息表重新推送、跨省市转出支付成功、转出支付不成功、转出办结、跨省市转出查询、转移支出查询、转移支出支付汇总功能。</t>
  </si>
  <si>
    <t>74</t>
  </si>
  <si>
    <t>失保业务-失业保险金核定</t>
  </si>
  <si>
    <t>建设失业保险金核定事项功能。包含申请、审核共两个节点，节点内共设置失业保险金核定业务校验、失业金核定信息查询、失业金初核、失业金复核、生成失业金申请功能。</t>
  </si>
  <si>
    <t>75</t>
  </si>
  <si>
    <t>失保业务-稳岗补贴申请确认信息</t>
  </si>
  <si>
    <t>建设稳岗补贴申请确认信息事项功能。包含稳岗补贴申请确认信息业务校验、申请信息查询、申请信息选择或录入功能。</t>
  </si>
  <si>
    <t>76</t>
  </si>
  <si>
    <t>失保业务-稳岗补贴管理</t>
  </si>
  <si>
    <t>建设稳岗补贴管理事项功能。包括生成稳岗补贴企业名单、企业满足稳岗补贴申请业务条件校验、企业稳岗补贴查询、企业稳岗补贴初审、企业稳岗补贴复审、企业稳岗补贴公示、企业稳岗补贴回退、企业稳岗补贴退还、企业稳岗补贴支付汇总功能。事项支持劳务派遣企业和一般企业两种企业。</t>
  </si>
  <si>
    <t>77</t>
  </si>
  <si>
    <t>失保业务-企业稳岗补贴</t>
  </si>
  <si>
    <t>建设企业稳岗补贴事项功能。包含企业稳岗补贴申请确认、企业稳岗补贴信息查询、功能。</t>
  </si>
  <si>
    <t>78</t>
  </si>
  <si>
    <t>失保业务-丧葬补助金和抚恤金补发</t>
  </si>
  <si>
    <t>建设丧葬补助金和抚恤金补发事项功能。包含申请、审核共两个节点，节点内共设置丧葬补助金和抚恤金补发业务校验、申请信息查询、申请信息选择或录入、经办审核功能。</t>
  </si>
  <si>
    <t>79</t>
  </si>
  <si>
    <t>失保业务-申请大龄领金人员养老保险费补贴</t>
  </si>
  <si>
    <t>建设申请大龄领金人员养老保险费补贴事项功能。包含申请、初核、复核共三个节点，节点内共设置申请大龄领金人员养老保险费补贴业务校验、申请信息查询、申请信息选择或录入、经办审核功能。</t>
  </si>
  <si>
    <t>80</t>
  </si>
  <si>
    <t>失保业务-劳务派遣单位享受稳岗返还资金信息管理</t>
  </si>
  <si>
    <t>建设劳务派遣单位享受稳岗返还资金信息管理事项功能（含申请、审核 2 个节点，节点内设置业务校验、申请信息查询、录入、经办审核功能）、劳务派遣单位享受稳岗返还资金查询事项功能（含申请、审核 2 个节点，节点内设置业务校验、申请信息查询、录入、经办审核功能）、稳岗补贴专项整治资金清理事项功能（含申请 1 个节点，节点内设置业务校验、申请信息查询、录入功能）。共计 3 个功能，5 个节点。</t>
  </si>
  <si>
    <t>81</t>
  </si>
  <si>
    <t>失保业务-支付确认发放</t>
  </si>
  <si>
    <t>建设个人支付确认发放事项功能（包含个人支付确认发放查询明细、确认发放功能）、单位支付确认发放事项功能（含确认发放单位支付确认发放查询明细、确认发放功能）。</t>
  </si>
  <si>
    <t>82</t>
  </si>
  <si>
    <t>失保业务-支付退还确认</t>
  </si>
  <si>
    <t>建设个人支付退还确认事项功能（包含个人支付退还确认查询、退还确认功能）、单位支付退还确认事项功能（含单位支付退还确认查询、退还确认功能）。</t>
  </si>
  <si>
    <t>83</t>
  </si>
  <si>
    <t>失保业务-失业保险金停止</t>
  </si>
  <si>
    <t>建设失业保险金停止事项功能。包含失业保险金停止业务校验、停止信息查询、失业金停止功能。</t>
  </si>
  <si>
    <t>84</t>
  </si>
  <si>
    <t>失保业务-灵活就业三项补贴</t>
  </si>
  <si>
    <t>建设灵活就业三项补贴支付事项功能（包含支付 1 个节点，节点内设置灵活就业三项补贴支付业务校验、查询支付计划、查询支付详情、生成支付记录功能，涵盖大龄失业就业岗位补贴、协保补贴、就业困难人员社会保险费补贴三项）、灵活就业三项补贴支付汇总事项功能（包含支付汇总 1 个节点，节点内设置灵活就业三项补贴支付汇总业务校验、查询支付汇总记录、按街道和银行导出支付汇总表、生成支付汇总记录功能，涵盖大龄失业就业岗位补贴、协保补贴、就业困难人员社会保险费补贴三项）。共计 2 个功能，2 个节点。</t>
  </si>
  <si>
    <t>85</t>
  </si>
  <si>
    <t>失保业务-生成 “失业人员缴纳医疗保险费结算专户” 缴纳通知书</t>
  </si>
  <si>
    <t>建设1、生成 “失业人员缴纳医疗保险费结算专户” 缴纳通知书事项功能（包含生成缴纳通知书业务校验、生成相关财务数据功能，调用税务接口，将数据流转到税务）。</t>
  </si>
  <si>
    <t>86</t>
  </si>
  <si>
    <t>失保业务-失业补助金支付和支付汇总</t>
  </si>
  <si>
    <t>建设失业补助金支付和支付汇总事项功能。包含失业补助金支付和支付汇总业务校验、支付记录生成查询、支付记录汇总打印、查询支付汇总记录、支付汇总生成、按街道打印汇总、按银行打印汇总功能。</t>
  </si>
  <si>
    <t>87</t>
  </si>
  <si>
    <t>失保业务-部失业保险处理</t>
  </si>
  <si>
    <t>建设1、部失业保险主办处理事项功能（包含部失业保险主办处理业务校验、导入数据处理、处理结果导出功能）、2、部失业保险协办处理事项功能（含部失业保险协办处理业务校验、导入数据处理、处理结果导出功能）。</t>
  </si>
  <si>
    <t>88</t>
  </si>
  <si>
    <t>失保业务-失业补助金（农民职工）支付和支付汇总</t>
  </si>
  <si>
    <t>建设失业补助金（农民职工）支付和支付汇总事项功能。包含支付和支付汇总，失业补助金（农民职工）支付和支付汇总业务校验、支付记录生成查询、支付记录汇总打印、查询支付汇总记录、支付汇总生成、按街道打印汇总、按银行打印汇总功能。</t>
  </si>
  <si>
    <t>89</t>
  </si>
  <si>
    <t>失保业务-单位失保基金出盘</t>
  </si>
  <si>
    <t>建设单位失保基金出盘事项功能（包含单位失保基金出盘数据查询、生成出盘文件功能）、单位失保基金出盘处理事项功能（含单位失保基金出盘处理数据查询、上传联系函、上传出盘文件、回盘、回盘失败查询、已回盘情况查询、补贴汇总功能，处理所有走失保基金的单位补贴回盘结果），单位出回盘情况查询事项功能（包含单位出盘情况查询、单位回盘情况查询、银行汇总、生成汇总表、回盘银行明细功能）、</t>
  </si>
  <si>
    <t>90</t>
  </si>
  <si>
    <t>失保业务-个人失保基金出盘</t>
  </si>
  <si>
    <t>建设个人失保基金出盘事项功能（包含个人失保基金出盘数据查询、生成出盘文件功能）、个人失保基金出盘处理事项功能（含个人失保基金出盘处理数据查询、上传联系函、上传出盘文件、回盘、回盘失败查询、已回盘情况查询、补贴汇总功能，处理所有走失保基金的个人补贴回盘结果），个人出回盘情况查询事项功能（含个人出盘情况查询、个人回盘情况查询、银行汇总、生成汇总表、回盘银行明细功能）。</t>
  </si>
  <si>
    <t>91</t>
  </si>
  <si>
    <t>失保业务-失业保险待遇情况信息</t>
  </si>
  <si>
    <t>建设失业保险待遇情况信息事项功能。包含个人基本信息查询、个人基本状态信息查询、有效工龄查询、养保缴费查询、失保缴费查询、镇保缴费查询、农保缴费信息查询、银行账号信息查询、多发待遇信息查询、核定受理信息查询、失业保险金申领信息查询、失业保险金支付和退还信息查询、失业补助金申请信息查询、失业补助金支付和退还信息查询、三项补贴申请和退还信息查询、三项补贴支付信息查询，共计16个功能。</t>
  </si>
  <si>
    <t>92</t>
  </si>
  <si>
    <t>失保业务-三项补贴退还</t>
  </si>
  <si>
    <t>建设三项补贴退还事项功能。包含三项补贴退还业务校验、退还信息查询、退还信息保存功能。</t>
  </si>
  <si>
    <t>93</t>
  </si>
  <si>
    <t>失保业务-汇总失保人员缴纳医保</t>
  </si>
  <si>
    <t>建设汇总失保人员缴纳医保事项功能。包含汇总失保人员缴纳医保信息查询、明细查询、生成当月汇总功能。</t>
  </si>
  <si>
    <t>94</t>
  </si>
  <si>
    <t>失保业务-失业人员缴纳医保数据交换</t>
  </si>
  <si>
    <t>建设失业人员缴纳医保数据交换事项功能。包含失业人员缴纳医保数据交换获取变更、生成文件、打印功能。</t>
  </si>
  <si>
    <t>95</t>
  </si>
  <si>
    <t>失保业务-物价补贴支付汇总</t>
  </si>
  <si>
    <t>建设物价补贴支付汇总事项功能。包含物价补贴支付汇总查询、生成支付汇总记录、打印街道统计、打印街道明细、打印银行统计功能。</t>
  </si>
  <si>
    <t>96</t>
  </si>
  <si>
    <t>失保业务-修改失业保险金核定参数</t>
  </si>
  <si>
    <t>建设修改失业保险金核定参数事项功能。包含修改失业保险金核定参数业务校验、核定信息查询、核定信息修改功能。</t>
  </si>
  <si>
    <t>97</t>
  </si>
  <si>
    <t>失保业务-失业保险金退还</t>
  </si>
  <si>
    <t>建设失业保险金退还事项功能。包含申请、审核，失业保险金退还业务校验、退还信息查询、退还信息录入、经办审核功能。</t>
  </si>
  <si>
    <t>98</t>
  </si>
  <si>
    <t>失保业务-失业补助金退还</t>
  </si>
  <si>
    <t>建设失业补助金退还事项功能。包含申请、审核，失业补助金退还业务校验、退还信息查询、退还信息录入、经办审核功能。</t>
  </si>
  <si>
    <t>99</t>
  </si>
  <si>
    <t>失保业务-已支付未发放人员监控</t>
  </si>
  <si>
    <t>建设已支付未发放人员监控事项功能。包含已支付未发放人员监控的查询、打印功能。</t>
  </si>
  <si>
    <t>100</t>
  </si>
  <si>
    <t>失保业务-大龄领金人员缴纳养老保险费补贴支付和支付汇总</t>
  </si>
  <si>
    <t>建设大龄领金人员缴纳养老保险费补贴支付和支付汇总事项功能。包含支付和支付汇总，比如大龄领金人员缴纳养老保险费补贴支付和支付汇总业务校验、支付记录生成查询、支付记录汇总打印、查询支付汇总记录、支付汇总生成、按街道打印汇总、按银行打印汇总功能。</t>
  </si>
  <si>
    <t>101</t>
  </si>
  <si>
    <t>失保业务-失业保险金支付和支付汇总</t>
  </si>
  <si>
    <t>建设失业保险金支付和支付汇总事项功能。包含支付和支付汇总，比如失业保险金支付和支付汇总业务校验、支付记录生成查询、支付记录汇总打印、查询支付汇总记录、支付汇总生成、按街道打印汇总、按银行打印汇总功能。</t>
  </si>
  <si>
    <t>102</t>
  </si>
  <si>
    <t>失保业务-失业保险金（含延长领取）暂停</t>
  </si>
  <si>
    <t>建设失业保险金（含延长领取）暂停事项功能。包含失业保险金（含延长领取）暂停业务校验、暂停信息录入、暂停信息保存功能。</t>
  </si>
  <si>
    <t>103</t>
  </si>
  <si>
    <t>失保业务-综合查询</t>
  </si>
  <si>
    <t>建设内容包括，1、三项补贴批量查询暂停，包含暂停查询、暂停受理功能。2、稳岗返还劳务派遣单位资金拨付情况查询，包含稳岗返还劳务派遣单位资金拨付情况查询、查看详情功能。3、劳务派遣享受失业保险稳岗返还查询，包含劳务派遣享受失业保险稳岗返还查询、查看详情、导出功能。4、企业失保补贴信息查询，包含企业信息查询、企业稳岗补贴信息查询功能。</t>
  </si>
  <si>
    <t>104</t>
  </si>
  <si>
    <t>失保业务-多发补贴或待遇人员管理</t>
  </si>
  <si>
    <t>建设多发补贴或待遇人员名单事项功能。包含多发补贴或待遇人员名单查询、打印、新增、修改、删除功能。</t>
  </si>
  <si>
    <t>105</t>
  </si>
  <si>
    <t>失保业务-促进就业项目补贴全流程统计管理</t>
  </si>
  <si>
    <t>指标枚举涵盖区县、就业岗位补贴、社会保险费补贴、培训费补贴、房租补贴、贷款贴息、本月数、当年累计数、就业项目、本月退款情况、当年退款情况、岗位补贴等内容。该表全面呈现了不同区县在各类促进就业项目补贴的发放、实际支出、退款情况，以及补贴在不同时间维度（本月、当年累计）的数据，为失业保险促进就业项目补贴的管理、分析与政策优化，提供了多维度的综合数据支撑。</t>
  </si>
  <si>
    <t>106</t>
  </si>
  <si>
    <t>失保业务-失业保险待遇全流程统计管理</t>
  </si>
  <si>
    <t>指标枚举涵盖区县、发放失业保险金人数、延长领取人数、失业补助金发放人数、医疗补助金发放人数、大龄协保人员生活费补贴、本月人数、本月人次、本年人数、本年人次、历年人数、历年人次、就业项目、本月退款情况、当年退款情况、失业保险金、失业补助金等。该表全方位展现了失业保险待遇在不同区域的发放、支出、退款情况，以及各待遇项目的人员数据和时间维度统计，同时包含待遇居住地管理信息，为失业保险待遇政策制定、资金监管、服务优化等工作，提供全面且详实的数据依据与综合分析支撑。</t>
  </si>
  <si>
    <t>107</t>
  </si>
  <si>
    <t>失保业务-失业保险基金监控与发放人员统计</t>
  </si>
  <si>
    <t>指标枚举涵盖区县、本月增加人数、本月新增人数、终止合同、解除合同、辞退、本月人数、当年累计人次数等，同时涉及失业保险金享受标准相关数据 。该表全面呈现失业保险基金监控下，失业保险金发放人员在新增、减少方面的详细情况，以及不同原因导致人员变动的数据，结合失业保险金享受标准分析，为失业保险基金的动态管理、风险防控，以及政策调整提供多维度、系统性的数据支撑。</t>
  </si>
  <si>
    <t>108</t>
  </si>
  <si>
    <t>失保业务-失业保险专项补贴调度统计</t>
  </si>
  <si>
    <t>指标枚举包括区（县）、上年人数、批准人数、减少人数、上月发放人数、自主创业、自谋职业、从领取失业保险待遇中转出等数据，以及本期享受稳岗补贴情况、本期领取技能提升补贴情况、本期领取价格临时补贴情况。该表全面呈现了失业保险在稳岗、技能提升、价格临时等补贴项目的实施情况，同时涵盖完全丧劳特困失业人员增补信息，以及自谋职业和自主创业享受补贴情况，为失业保险政策制定、资源调配及精准帮扶提供综合数据依据。</t>
  </si>
  <si>
    <t>109</t>
  </si>
  <si>
    <t>失保业务-失业保险金领取情况综合分析</t>
  </si>
  <si>
    <t>指标枚举涵盖区县、年龄段、时间段、性别、年龄、当月人数、当年累计人数、缴纳养老保险费本月人数、缴纳养老保险费当年累计人数、本月新增延长领取人数、本年累计新增延长领取人数、本市户籍领取失业金人数、非本市户籍领取失业金人数。该表通过年龄、时间、地域、参保缴费等多个维度，全面展示失业保险金领取期限、剩余期限、延长领取、不同户籍领取人数，以及距退休不足一年人员和领金期间缴纳养老保险费人员的情况，为失业保险政策制定、资源调配和精准服务提供详细数据依据 。</t>
  </si>
  <si>
    <t>110</t>
  </si>
  <si>
    <t>失保业务-“全市通办” 与灵活就业社保补贴业务统计</t>
  </si>
  <si>
    <t>指标枚举包含区县、受理人次、业务名称、年龄、本月人数、当年累计人数、历年累计人数。该表全面呈现了 “全市通办” 业务在各区县的受理情况，以及灵活就业社会保险费补贴申请人员的年龄分布和不同时间维度的人数统计，为优化失业保险业务办理流程、完善补贴政策提供数据支撑。</t>
  </si>
  <si>
    <t>111</t>
  </si>
  <si>
    <t>失保业务-失业保险参保情况统计</t>
  </si>
  <si>
    <t>以 “项目” 分类，涵盖参保单位数、参保人数、本月新增参保人数、本月新增停保人数等关键数据。参保单位数反映了参与失业保险的单位规模，参保人数展示了整体参保群体数量，本月新增参保人数体现了新加入失业保险的人员动态，本月新增停保人数则呈现了退出参保的情况。这些数据能帮助社保中心全面掌握失业保险参保单位和人员的变化情况，了解新增和停保动态，为评估失业保险覆盖范围、调整政策以及合理分配资源提供有力的数据支持，对失业保险业务的管理和决策有着重要意义。</t>
  </si>
  <si>
    <t>112</t>
  </si>
  <si>
    <t>失保业务-失业保险与养老保险关联及综合情况统计</t>
  </si>
  <si>
    <t>在人员信息层面，涵盖 “户籍”“年龄”“单位性质” 等关键要素，可从地域、年龄结构、单位属性等角度对参保群体进行分类剖析；在业务数据方面，“期末参保人数”“期末缴费人数”“当月办理人数”“当年办理人数” 等指标，动态呈现养老保险缴纳的数量变化与办理进度，而 “参保单位”“参保人员”“离退休人数”“期末参保单位户数” 则全面反映城镇基本养老保险的参保规模与结构。此外，“报表”“指标项”“数据” 作为基础信息，确保数据的规范性与可追溯性。整合后的数据能够帮助社保中心全面掌握养老保险与失业保险业务的运行情况，为优化政策制定、资源配置、精准服务参保群体提供详实的数据支撑 。</t>
  </si>
  <si>
    <t>113</t>
  </si>
  <si>
    <t>失保业务-失业保险综合信息</t>
  </si>
  <si>
    <t>记录了失业人员的基本信息（本市人员和来沪人员的失业登记信息），包含失业登记的校验情况，如登记信息的准确性、完整性校验结果等；失业人员的医保缴纳每日变更数据，具体有缴纳金额、缴纳状态变更、缴纳时间等信息；失业保险的相关信息，如失业保险缴费情况（职工失业保险缴费的具体金额、缴费时间、缴费状态等）、失业保险人员记账信息（包含失业保险金的收支记账情况、利息记账情况等）；失业金领取信息，如失业金领取人员信息、领取金额、领取时间、领取状态等。反映失业人员从失业登记到享受失业保险待遇、医保缴纳等一系列流程的详细情况，为相关部门的管理、决策以及对失业人员的服务提供有力的数据支撑，同时也便于对失业保险基金的收支情况进行监控和分析。</t>
  </si>
  <si>
    <t>114</t>
  </si>
  <si>
    <t>失保业务-用人单位吸纳就业困难人员岗位补贴核定</t>
  </si>
  <si>
    <t>建设用人单位吸纳就业困难人员岗位补贴核定事项功能。节点内共设置业务校验、查询、核定功能。</t>
  </si>
  <si>
    <t>115</t>
  </si>
  <si>
    <t>失保业务-一次性扩岗补助核定</t>
  </si>
  <si>
    <t>建设一次性扩岗补助核定事项功能。节点内共设置业务校验、查询、核定功能。</t>
  </si>
  <si>
    <t>116</t>
  </si>
  <si>
    <t>失保业务-培训补贴经费核定</t>
  </si>
  <si>
    <t>建设培训补贴经费核定事项功能。节点内共设置业务校验、查询、核定功能。以及培训机构数据同步。</t>
  </si>
  <si>
    <t>117</t>
  </si>
  <si>
    <t>工伤参保待遇-建设项目工伤保险登记</t>
  </si>
  <si>
    <t>建设项目工伤保险登记事项包括申请,容缺材料补全,系统预审,审核A,审核B,审核C,人工预审,审核裁定,会审,复核,系统办理,现场验原件,一审,二审,三审,撤销共16个节点，实现建设项目承包单位因为建设项目购买工伤保险需要实现工伤保险登记并缴费，可通过自助经办、人社经办大厅（RA）完成建设项目工伤保险的办理/操作。系统需要同时收集相关经办材料，待事项完成后发起相关归档工作。
本次建设涉及申请、人工预审、系统预审、一审、复核、系统办理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申请：单位办事人员通过自助经办系统或者区社保中心经办部门受理人员通过业务经办系统录入合同报送号获取建设项目信息或录入建设项目信息办理建设项目工伤保险登记业务。
人工预审：单位办事人员通过自助经办系统录入建设项目信息办理建设项目工伤保险登记业务后，区社保中心经办部门受理人员通过业务经办系统下载和校对单位的申请信息，并核实信息和材料是否有误后提交审核结果。
系统预审：单位办事人员通过自助经办系统录入合同报送号获取建设项目信息办理建设项目工伤保险登记业务后，系统校对单位信息和建设项目信息。
一审：区社保中心经办部门审核人员为了完成建设项目工伤保险登记的审核，通过业务经办系统下载和校对单位的申请信息，并核实信息和材料是否有误后提交审核结果。
复核：一审信息和申请信息不一致时，区社保中心经办部门审核人员为了完成建设项目工伤保险登记的复核，通过业务经办系统录入复核信息并提交审核结果。
系统办理：审核通过后，系统录入建设项目参保信息，并推送缴费信息。</t>
  </si>
  <si>
    <t>118</t>
  </si>
  <si>
    <t>工伤参保待遇-建设项目工伤保险登记信息变更</t>
  </si>
  <si>
    <t>建设项目工伤保险登记信息变更事项包括申请,容缺材料补全,系统预审,审核A,审核B,审核C,人工预审,审核裁定,会审,复核,系统办理,现场验原件,一审,二审,三审共15个节点，实现建设项目承包单位因建设项目延期或信息有误需要实现修改建设项目登记信息，可通过自助经办、人社经办大厅（RA）完成建设项目工伤保险登记信息变更的办理。系统需要同时收集相关经办材料，待事项完成后发起相关归档工作。
本次建设申请、人工预审、一审、系统办理涉及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申请：单位办事人员通过自助经办系统或区社保中心经办部门受理人员通过业务经办系统办理建设项目工伤保险登记信息变更。
人工预审：区社保中心经办部门受理人员为了完成对建设项目工伤保险登记信息变更的受理，通过业务经办系统下载和校对单位提供的申请材料，并核实信息和材料是否有误后提交受理结果。
一审：区社保中心经办部门受理人员为了完成对建设项目工伤保险登记信息变更的审核，通过业务经办系统下载和校对单位提供的申请材料，并核实信息和材料是否有误后提交受理结果。
系统办理：审核通过后，系统更新建设项目的参保信息。</t>
  </si>
  <si>
    <t>119</t>
  </si>
  <si>
    <t>工伤参保待遇-工伤人员工伤伤残待遇申领</t>
  </si>
  <si>
    <t>建设工伤人员工伤伤残待遇申领事项包括申请,容缺材料补全,系统预审,审核A,审核B,审核C,人工预审,审核裁定,会审,复核,系统办理,现场验原件,一审,二审,三审,撤销共16个节点，实现工伤认定机构认定构成工伤的人员申领相关工伤待遇，可通过自助经办、人社经办大厅（RA）渠道完成工伤伤残待遇申领。系统需要同时收集相关经办材料，待事项完成后发起相关归档工作。
本次建设涉及申请,补正材料,容缺材料补全,系统预审,人工预审,会审,复核,系统办理,现场验原件,一审,二审,三审,撤销共计13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申请:单位办事人员通过自助经办系统或区社保用户通过业务经办系统办理工伤伤残待遇申领事项业务。
补正材料:服务对象提交的事项申请，经过受理，并且为容缺受理时，服务对象可通过网上待办或线下完成容缺材料补全。
人工预审:区社保中心经办部门受理人员为了完成对工伤伤残待遇申领的受理，通过业务经办系统下载和校对单位提供的申请材料，并核实信息和材料是否有误后提交受理结果。
会审:区社保中心经办部门审核人员为了完成对工伤伤残待遇申领的审核，通过业务经办系统下载和校对申请材料，并核实信息和材料是否有误后提交审核结果。
复核:对审核节点部分修改的重点数据进行再次复核确认。
系统办理:审核通过后系统新增工伤人员信息，核定此工伤人员申领的待遇类型及金额，生成应退还资金台账（若存在需退还的金额）及核定表，发起材料归档。
一审:区社保中心经办部门审核人员为了完成对一审审核的工伤伤残待遇申领信息进行审核，并核实信息和材料是否有误后提交审核结果。
二审:区社保中心经办部门审核人员为了完成对二审审核的工伤伤残待遇申领信息进行审核，并核实信息和材料是否有误后提交审核结果。
撤销：由于风控、单位发起、业务经办人员发起等原因可以操作事项撤销（当月）。更新事项状态、回退工伤伤残待遇申领生成的数据项、撤销应退还资金台账、生成撤销核定表。</t>
  </si>
  <si>
    <t>120</t>
  </si>
  <si>
    <t>工伤参保待遇-工伤人员因工死亡（因工下落不明）待遇申领</t>
  </si>
  <si>
    <t>建设工伤人员因工死亡（因工下落不明）待遇申领事项包括申请,容缺材料补全,系统预审,审核A,审核B,审核C,人工预审,审核裁定,会审,复核,系统办理,现场验原件,一审,二审,三审,撤销共16个节点，实现社保中业务经办人员因工亡人员办理待遇申请需要实现工伤人员及供养亲属的待遇核定发放，可通过人社自助经办系统、人社经办大厅（RA）渠道完成工伤人员因工死亡（因工下落不明）待遇申领办理。系统需要同时收集相关经办材料，待事项完成后发起相关归档工作。
本次建设涉及申请,补正材料,容缺材料补全,系统预审,人工预审,会审,复核,系统办理,一审,二审,三审,撤销共计12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申请:单位办事人员或社保中心业务人员录入工亡人员申请待遇信息和供养亲属信息及申请待遇信息
补正材料:人社经办大厅办事人员对保险待遇恢复业务的材料进行补全操作。
容缺材料补全:服务对象提交的事项申请，经过受理，并且为容缺受理时，服务对象可通过网上待办或线下完成容缺材料补全。
系统预审:对单位办事人员通过自主经办系统对单位提供的申请信息进行系统预审，通过预申的申请，系统提交审核。
人工预审:区社保中心经办部门受理人员为了完成受理，通过业务经办系统下载和校对单位提供的申请材料，并核实信息和材料是否有误后提交受理结果。
会审:区社保中心经办部门审核人员为了完成审核，通过业务经办系统下载和校对申请材料，并核实信息和材料是否有误后提交审核结果。
复核:一审信息和申请信息不一致时，区社保中心经办部门审核人员为了完成建设项目工伤保险登记的复核，通过业务经办系统录入复核信息并提交审核结果。
系统办理:审核通过后系统更新保险待遇恢复状态，发起材料归档。
一审:区社保中心经办部门审核人员为了完成审核，通过业务经办系统下载和校对申请材料，并核实信息和材料是否有误后提交审核结果
二审:区社保中心经办部门审核人员为了完成审核，通过业务经办系统下载和校对申请材料，并核实信息和材料是否有误后提交审核结果。
三审:区社保中心经办部门审核人员为了完成审核，通过业务经办系统下载和校对申请材料，并核实信息和材料是否有误后提交审核结果。
撤销:选择需要撤销的审核通过事项，对已保存的事项信息进行撤销操作。</t>
  </si>
  <si>
    <t>121</t>
  </si>
  <si>
    <t>工伤参保待遇-工伤人员一次性工伤医疗补助金待遇申领</t>
  </si>
  <si>
    <t>建设工伤人员一次性工伤医疗补助金待遇申领事项包括申请,容缺材料补全,系统预审,审核A,审核B,审核C,人工预审,审核裁定,会审,复核,系统办理,现场验原件,一审,二审,三审,撤销共16个节点，实现单位办事人员因一次性医疗补助金申请需要实现领取工伤人员一次性工伤医疗补助金待遇，可通过人社经办大厅（RA）渠道完成工伤人员一次性医疗补助金待遇申领。系统需要同时收集相关经办材料，待事项完成后发起相关归档工作。
本次建设涉及申请,补正材料,容缺材料补全,系统预审,人工预审,会审,复核,系统办理,一审,二审,三审,取消受理,撤销共计13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申请:单位办事人员通过自助经办系统或区社保用户通过业务经办系统办理工伤人员一次性工伤医疗补助金待遇申领。
补正材料:服务对象提交的事项申请，经过受理，并且为容缺受理时，服务对象可通过网上待办或线下完成容缺材料补全。
容缺材料补全:服务对象提交的事项申请，经过受理，并且为容缺受理时，服务对象可通过网上待办或线下完成容缺材料补全。
系统预审:
人工预审:区社保中心经办部门受理人员为了完成对工伤人员一次性医疗补助金待遇申领的受理，通过业务经办系统下载和校对单位提供的申请材料，并核实信息和材料是否有误后提交受理结果。
会审:区社保中心经办部门审核人员为了完成对工伤人员一次性工伤医疗补助金领的审核，通过业务经办系统下载和校对申请材料，并核实信息和材料是否有误后提交审核结果。
复核:对审核修改的数据进行再次复核确认。
系统办理:审核通过后系统完成票据使用的推送，并生成医疗待遇支付信息，发起材料归档。
一审:区社保中心经办部门审核人员为了完成对工伤人员工伤医疗待遇申领的审核，通过业务经办系统下载和校对申请材料，并核实信息和材料是否有误后提交审核结果。
二审:核人员为了完成对二审审核的工伤医疗费待遇信息进行审核，并核实信息和材料是否有误后提交审核结果。
三审:区社保中心经办部门审核人员为了完成对三审审核的工伤医疗费待遇信息进行审核，并核实信息和材料是否有误后提交审核结果。
撤销：由于风控、单位发起、业务经办人员发起等原因可以操作事项撤销。撤销其票据报销的工伤医疗费信息、生成撤销核定表。</t>
  </si>
  <si>
    <t>122</t>
  </si>
  <si>
    <t>工伤参保待遇-工亡人员供养亲属待遇申领</t>
  </si>
  <si>
    <t>建设工亡人员供养亲属待遇申领事项包括申请,容缺材料补全,系统预审,一审,审核B,审核C,审核A,人工预审,会审,审核裁定,复核,现场验原件,系统办理,人工办理,二审,三审，撤销共17个节点，实现工伤人员因工作原因死亡或者工伤1-4级人员死亡后，家属可继续领取工伤待遇抚恤金，可通过自助经办、线下窗口申请办理工亡人员供养亲属待遇申领。若晚办理申领导致所有遗属总计算比例大于100%，会使待遇进行重算，收回其他遗属多发待遇。若有遗属的待遇状态已终止，则进应退还资金台账；正常或封存遗属数据保存后续进行工伤按月内扣。系统需要同时收集相关经办材料，待事项完成后发起相关归档工作。
本次建设涉及申请,补正材料,人工预审,会审,复核,系统办理,一审,二审,三审,撤销共计10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申请:单位办事人员通过自助经办系统或区社保用户通过业务经办系统办理工亡人员供养亲属待遇申领业务。
补正材料:服务对象提交的事项申请，经过受理，并且为容缺受理时，服务对象可通过网上待办或线下完成容缺材料补全。
人工预审:区社保中心经办部门受理人员为了完成对工亡人员供养亲属待遇申领的受理，通过业务经办系统下载和校对单位提供的申请材料，并核实信息和材料是否有误后提交受理结果。
会审:区社保中心经办部门审核人员为了完成对工亡人员供养亲属待遇申领的审核，通过业务经办系统下载和校对申请材料，并核实信息和材料是否有误后提交审核结果。
复核:对审核修改的数据进行再次复核确认。
系统办理:审核通过后系统新增因工遗属信息，核定此遗属和其他遗属抚恤金待遇金额，生成应退还资金台账及核定表，发起材料归档。
一审:区社保中心经办部门审核人员为了完成对工亡人员供养亲属待遇申领的审核，通过业务经办系统下载和校对申请材料，并核实信息和材料是否有误后提交审核结果。
二审:区社保中心经办部门审核人员为了完成对二审审核的工亡遗属待遇信息进行审核，并核实信息和材料是否有误后提交审核结果。
三审:区社保中心经办部门审核人员为了完成对三审审核的工亡遗属待遇信息进行审核，并核实信息和材料是否有误后提交审核结果。
撤销：由于风控、单位发起、业务经办人员发起等原因可以操作事项撤销。更新事项状态、回退工亡人员供养亲属待遇申领、撤销应退还资金台账、生成撤销核定表。</t>
  </si>
  <si>
    <t>123</t>
  </si>
  <si>
    <t>工伤参保待遇-工伤人员、供养亲属基本信息调整</t>
  </si>
  <si>
    <t>建设工伤人员、供养亲属基本信息调整事项包括申请,容缺材料补全,系统预审,审核A,审核B,审核C,人工预审,审核裁定,会审,复核,系统办理,现场验原件,一审,二审,三审,撤销共16个节点，实现工伤（亡）人员因基本信息调整需要实现基本信息调整，可通过自助经办、人社经办大厅（RA）渠道完成基本信息调整操作。系统需要同时收集相关经办材料，待事项完成后发起相关归档工作。
本次建设涉及申请,系统预审,系统办理,一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申请:人社经办大厅办事人员办理工伤（亡）人员基本信息调整业务。
系统预审:系统校对单位提供的申请材料，并核实信息和材料是否有误后提交受理结果。
系统办理:审核通过后系统更新工伤（亡）人员基本信息，发起材料归档。
一审：区社保中心经办部门审核人员为了完成对工伤（亡）人员基本信息调整申请的审核，通过业务经办系统下载和校对申请材料，并核实信息和材料是否有误后提交审核结果。</t>
  </si>
  <si>
    <t>124</t>
  </si>
  <si>
    <t>工伤参保待遇-工伤人员、供养亲属工伤保险待遇暂停</t>
  </si>
  <si>
    <t>建设工伤人员、供养亲属工伤保险待遇暂停事项包括申请,容缺材料补全,系统预审,审核A,审核B,审核C,人工预审,审核裁定,会审,复核,系统办理,现场验原件,一审,二审,三审,撤销共16个节点，实现工伤保险待遇人员因特殊情况需要实现暂停保险待遇，可通过自助经办、人社经办大厅（RA）渠道完成保险待遇暂停操作。系统需要同时收集相关经办材料，待事项完成后发起相关归档工作。
本次建设涉及申请,系统预审,人工预审,系统办理,一审,撤销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申请:人社经办大厅办事人员办理保险待遇暂停业务。
系统预审:系统校对单位提供的申请材料，并核实信息和材料是否有误后提交受理结果。
人工预审:区社保中心经办部门受理人员为了完成对保险待遇暂停申请的受理，通过业务经办系统下载和校对单位提供的申请材料，并核实信息和材料是否有误后提交受理结果。
系统办理:审核通过后系统更新保险待遇暂停状态，发起材料归档。
一审:区社保中心经办部门审核人员为了完成对保险待遇暂停申请的审核，通过业务经办系统下载和校对申请材料，并核实信息和材料是否有误后提交审核结果。
撤销：由于风控、单位发起、业务经办人员发起等原因可以操作事项撤销。更新事项状态、保险待遇暂停状态。</t>
  </si>
  <si>
    <t>125</t>
  </si>
  <si>
    <t>工伤参保待遇-工伤人员、供养亲属工伤保险待遇恢复</t>
  </si>
  <si>
    <t>建设工伤人员、供养亲属工伤保险待遇恢复事项包括申请,容缺材料补全,系统预审,审核A,审核B,审核C,人工预审,审核裁定,会审,复核,系统办理,现场验原件,一审,二审,三审,撤销共16个节点，实现工伤保险待遇人员因特殊情况需要实现恢复保险待遇，可通过自助经办、人社经办大厅（RA）渠道完成保险待遇恢复操作。系统需要同时收集相关经办材料，待事项完成后发起相关归档工作。
本次建设涉及申请,补正材料,人工预审,会审,系统办理,一审,二审,三审共计8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申请:人社经办大厅办事人员办理保险待遇恢复业务。
补正材料:人社经办大厅办事人员对保险待遇恢复业务的材料进行补全操作。
人工预审:区社保中心经办部门受理人员为了完成对保险待遇恢复申请的受理，通过业务经办系统下载和校对单位提供的申请材料，并核实信息和材料是否有误后提交受理结果。
会审:区社保中心经办部门审核人员为了完成对保险待遇恢复申请的审核，通过业务经办系统下载和校对申请材料，并核实信息和材料是否有误后提交审核结果。
系统办理:审核通过后系统更新保险待遇恢复状态，发起材料归档。
一审:区社保中心经办部门审核人员为了完成对保险待遇恢复申请的审核，通过业务经办系统下载和校对申请材料，并核实信息和材料是否有误后提交审核结果。
二审:区社保中心经办部门审核人员为了完成对保险待遇恢复申请的审核，通过业务经办系统下载和校对申请材料，并核实信息和材料是否有误后提交审核结果。
三审:区社保中心经办部门审核人员为了完成对保险待遇恢复申请的审核，通过业务经办系统下载和校对申请材料，并核实信息和材料是否有误后提交审核结果。</t>
  </si>
  <si>
    <t>126</t>
  </si>
  <si>
    <t>工伤参保待遇-工亡人员供养亲属待遇终止</t>
  </si>
  <si>
    <t>建设工亡人员供养亲属待遇终止事项包括申请,容缺材料补全,系统预审,一审,审核B,审核C,审核A,人工预审,会审,审核裁定,复核,现场验原件,系统办理,人工办理,二审,三审，撤销共17个节点，实现因工遗属人员待遇终止，可通过自助经办、线下窗口申请办理工亡人员供养亲属待遇终止。若晚办理申领导致所有遗属总计算比例从大于100%变为小于100%，会使待遇进行重算，补发其他遗属待遇，收回该人员多发待遇，数据进应退还资金台账。系统需要同时收集相关经办材料，待事项完成后发起相关归档工作。
本次建设涉及申请,一审,系统办理,人工预审,撤销,补正材料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本次建设涉及申请,补正材料,复核,系统办理,一审,撤销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申请:单位办事人员通过自助经办系统或区社保用户通过业务经办系统办理工亡人员供养亲属待遇终止业务。
补正材料:服务对象提交的事项申请，经过受理，并且为容缺受理时，服务对象可通过网上待办或线下完成容缺材料补全。
复核:对审核修改的数据进行再次复核确认。
系统办理:审核通过后系统终止应遗属待遇状态，重新核定其他遗属抚恤金待遇金额，生成应退还资金台账及核定表，发起材料归档。
一审:区社保中心经办部门审核人员为了完成对工亡人员供养亲属待遇终止的审核，通过业务经办系统下载和校对申请材料，并核实信息和材料是否有误后提交审核结果。
撤销:由于风控、单位发起、业务经办人员发起等原因可以操作事项撤销。更新事项状态、回退工亡人员供养亲属待遇状态、撤销应退还资金台账、生成撤销核定表。</t>
  </si>
  <si>
    <t>127</t>
  </si>
  <si>
    <t>工伤参保待遇-工伤人员辅助器具配置费用结算</t>
  </si>
  <si>
    <t>建设工伤人员辅助器具配置费用结算事项包括申请,容缺材料补全,系统预审,审核A,审核B,审核C,人工预审,审核裁定,会审,复核,系统办理,现场验原件,一审,二审,三审,撤销共16个节点，实现工伤人员辅助器具配置费用结算人员因结算需求需要实现配置费用结算，可通过自助经办、人社经办大厅（RA）渠道完成配置费用结算操作。系统需要同时收集相关经办材料，待事项完成后发起相关归档工作。
本次建设涉及申请,补正材料,人工预审,系统办理,一审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申请:人社经办大厅办事人员办理辅助器具配置费用结算业务。
补正材料:人社经办大厅办事人员对辅助器具配置费用结算业务的材料进行补全操作。
人工预审:区社保中心经办部门受理人员为了完成对辅助器具配置费用结算申请的受理，通过业务经办系统下载和校对单位提供的申请材料，并核实信息和材料是否有误后提交受理结果。
系统办理:审核通过后系统更新辅助器具配置费用结算入库信息，发起材料归档。
一审:区社保中心经办部门审核人员为了完成对辅助器具配置费用结算申请的审核，通过业务经办系统下载和校对申请材料，并核实信息和材料是否有误后提交审核结果。</t>
  </si>
  <si>
    <t>128</t>
  </si>
  <si>
    <t>工伤参保待遇-工伤人员更换辅助器具</t>
  </si>
  <si>
    <t>建设工伤人员更换辅助器具事项包括申请,容缺材料补全,系统预审,审核A,审核B,审核C,人工预审,审核裁定,会审,复核,系统办理,现场验原件,一审,二审,三审,撤销共16个节点，实现工伤更换辅助器具人员因更换辅助器具需求需要实现辅助器具更换，可通过自助经办、人社经办大厅（RA）渠道完成辅助器具更换操作。系统需要同时收集相关经办材料，待事项完成后发起相关归档工作。
本次建设涉及申请,系统预审,人工预审,系统办理,一审,撤销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申请:人社经办大厅办事人员办理辅助器具更换业务。
系统预审:系统校对单位提供的申请材料，并核实信息和材料是否有误后提交受理结果。
人工预审:区社保中心经办部门受理人员为了完成对辅助器具更换申请的受理，通过业务经办系统下载和校对单位提供的申请材料，并核实信息和材料是否有误后提交受理结果。
系统办理:审核通过后系统更新辅助器具更换入库信息，发起材料归档。
一审:区社保中心经办部门审核人员为了完成对辅助器具更换申请的审核，通过业务经办系统下载和校对申请材料，并核实信息和材料是否有误后提交审核结果。
撤销:由于风控、单位发起、业务经办人员发起等原因可以操作事项撤销。更新事项状态、辅助器具更换信息。</t>
  </si>
  <si>
    <t>129</t>
  </si>
  <si>
    <t>工伤参保待遇-工伤人员结算标识确认</t>
  </si>
  <si>
    <t>建设工伤人员结算标识确认事项包括申请,容缺材料补全,系统预审,审核A,审核B,审核C,人工预审,审核裁定,会审,复核,系统办理,现场验原件,一审,二审,三审,撤销共16个节点，实现工伤结算标识确认人员因结算标识确认需求需要实现结算标识确认，可通过人社经办大厅（RA）渠道完成结算标识确认操作。系统需要同时收集相关经办材料，待事项完成后发起相关归档工作。
本次建设涉及申请,系统办理,一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申请:人社经办大厅办事人员办理结算标识确认业务。
系统办理:审核通过后系统更新结算标识确认状态，发起材料归档。
一审:区社保中心经办部门审核人员为了完成对结算标识确认申请的审核，通过业务经办系统下载和校对申请材料，并核实信息和材料是否有误后提交审核结果。</t>
  </si>
  <si>
    <t>130</t>
  </si>
  <si>
    <t>工伤参保待遇-工伤人员工伤医疗待遇申领</t>
  </si>
  <si>
    <t>建设工伤人员工伤医疗待遇申领事项包括申请,容缺材料补全,系统预审,一审,审核B,审核C,审核A,人工预审,会审,审核裁定,复核,现场验原件,系统办理,人工办理,二审,三审，撤销共17个节点，实现工伤人员录入票据或者获取财政票据的方式申领报销治疗工伤所用的医疗费，可通过自助经办、线下窗口申请办理工伤人员工伤医疗待遇申领。系统需要同时收集相关经办材料，待事项完成后发起相关归档工作。
本次建设涉及申请,一审,系统办理,人工预审,撤销,补正材料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本次建设涉及申请,补正材料,容缺材料补全,人工预审,会审,复核,系统办理,一审,二审,三审,撤销共计11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申请:单位办事人员通过自助经办系统或区社保用户通过业务经办系统办理工伤人员工伤医疗待遇申领业务。
补正材料:服务对象提交的事项申请，经过受理，并且为容缺受理时，服务对象可通过网上待办或线下完成容缺材料补全。
容缺材料补全:服务对象提交的事项申请，经过受理，并且为容缺受理时，服务对象可通过网上待办或线下完成容缺材料补全。
人工预审:区社保中心经办部门受理人员为了完成对工伤人员工伤医疗待遇申领的受理，通过业务经办系统下载和校对单位提供的申请材料，并核实信息和材料是否有误后提交受理结果。
会审:区社保中心经办部门审核人员为了完成对工伤人员工伤医疗待遇申领的审核，通过业务经办系统下载和校对申请材料，并核实信息和材料是否有误后提交审核结果。
复核:对审核修改的数据进行再次复核确认。
系统办理:审核通过后系统完成票据使用的推送，并生成医疗待遇支付信息，发起材料归档。
一审:区社保中心经办部门审核人员为了完成对工伤人员工伤医疗待遇申领的审核，通过业务经办系统下载和校对申请材料，并核实信息和材料是否有误后提交审核结果。
二审:区社保中心经办部门审核人员为了完成对一审审核的工伤医疗费待遇信息进行审核，并核实信息和材料是否有误后提交审核结果。
三审:区社保中心经办部门审核人员为了完成对一审审核的工伤医疗费待遇信息进行审核，并核实信息和材料是否有误后提交审核结果。
撤销:由于风控、单位发起、业务经办人员发起等原因可以操作事项撤销。撤销其票据报销的工伤医疗费信息、生成撤销核定表。</t>
  </si>
  <si>
    <t>131</t>
  </si>
  <si>
    <t>工伤参保待遇-工伤人员辅助器具配置费用申领</t>
  </si>
  <si>
    <t>建设工伤人员辅助器具配置费用申领事项包括申请,容缺材料补全,系统预审,审核A,审核B,审核C,人工预审,审核裁定,会审,复核,系统办理,现场验原件,一审,二审,三审,撤销共16个节点，实现辅助器具配置费用申领人员因器具配置费用申领需求需要实现器具配置费用申领，可通过自助经办、人社经办大厅（RA）渠道完成器具配置费用申领操作。系统需要同时收集相关经办材料，待事项完成后发起相关归档工作。
本次建设涉及申请,补正材料,系统预审,人工预审,系统办理,一审,二审,三审,撤销共计9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申请:人社经办大厅办事人员办理辅助器具配置费用申领业务。
补正材料:人社经办大厅办事人员对辅助器具配置费用申领业务的材料进行补全操作。
系统预审:系统校对单位提供的申请材料，并核实信息和材料是否有误后提交受理结果。
人工预审:区社保中心经办部门受理人员为了完成对辅助器具配置费用申领申请的受理，通过业务经办系统下载和校对单位提供的申请材料，并核实信息和材料是否有误后提交受理结果。
系统办理:审核通过后系统更新辅助器具配置费用申领入库信息，发起材料归档。
一审:区社保中心经办部门审核人员为了完成对辅助器具配置费用申领申请的审核，通过业务经办系统下载和校对申请材料，并核实信息和材料是否有误后提交审核结果。
二审:区社保中心经办部门审核人员为了完成对辅助器具配置费用申领申请的审核，通过业务经办系统下载和校对申请材料，并核实信息和材料是否有误后提交审核结果。
三审:区社保中心经办部门审核人员为了完成对辅助器具配置费用申领申请的审核，通过业务经办系统下载和校对申请材料，并核实信息和材料是否有误后提交审核结果。
撤销:由于风控、单位发起、业务经办人员发起等原因可以操作事项撤销。更新事项状态、辅助器具配置费用申领入库信息。</t>
  </si>
  <si>
    <t>132</t>
  </si>
  <si>
    <t>工伤参保待遇-工伤保险责任单位变更</t>
  </si>
  <si>
    <t>建设工伤保险责任单位变更事项包括申请,容缺材料补全,系统预审,审核A,审核B,审核C,人工预审,审核裁定,会审,复核,系统办理,现场验原件,一审,二审,三审,撤销共16个节点，实现工伤保险责任单位变更人员因保险责任单位变更需求需要实现工伤保险责任单位变更，可通过自助经办、人社经办大厅（RA）渠道完成工伤保险责任单位变更操作。系统需要同时收集相关经办材料，待事项完成后发起相关归档工作。
本次建设涉及申请,补正材料,人工预审,系统办理,一审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申请:人社经办大厅办事人员办理工伤保险责任单位变更业务。
补正材料:人社经办大厅办事人员对工伤保险责任单位变更业务的材料进行补全操作。
人工预审:区社保中心经办部门受理人员为了完成对工伤保险责任单位变更申请的受理，通过业务经办系统下载和校对单位提供的申请材料，并核实信息和材料是否有误后提交受理结果。
系统办理:审核通过后系统更新工伤保险责任单位入库信息，发起材料归档。
一审:区社保中心经办部门审核人员为了完成对工伤保险责任单位变更申请的审核，通过业务经办系统下载和校对申请材料，并核实信息和材料是否有误后提交审核结果。</t>
  </si>
  <si>
    <t>133</t>
  </si>
  <si>
    <t>工伤参保待遇-工伤保险支缴率调整</t>
  </si>
  <si>
    <t>建设工伤保险支缴率调整事项包括申请,容缺材料补全,系统预审,审核A,审核B,审核C,人工预审,审核裁定,会审,复核,系统办理,现场验原件,一审,二审,三审,撤销共16个节点，实现单位办事人员因调整工伤保险支缴率需要实现工伤保险年度工伤保险支缴率调整，可通过人社经办大厅（RA）渠道。系统需要同时收集相关经办材料，待事项完成后发起相关归档工作。
本次建设涉及申请,系统办理,一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申请:业务经办人员录入工伤保险年度缴纳金额和待遇支付金额，系统自动计算支缴率。
一审：业务经办审核人员，根据申请节点信息以及提交的相关材料进行审核。
系统办理:审核通过后，保存录入信息，并调整单位费率推送税务。</t>
  </si>
  <si>
    <t>134</t>
  </si>
  <si>
    <t>工伤参保待遇-工伤异地就医备案</t>
  </si>
  <si>
    <t>建设工伤异地就医备案事项包括申请,容缺材料补全,系统预审,一审,审核B,审核C,审核A,人工预审,会审,审核裁定,复核,现场验原件,系统办理,人工办理,二审,三审，撤销共17个节点，实现工伤人员在本市以外的医院进行治疗后，进行就医备案，可通过自助经办、线下窗口申请办理工伤异地就医备案。系统需要同时收集相关经办材料，待事项完成后发起相关归档工作。
本次建设涉及申请,补正材料,系统预审,审核A,审核B,人工预审,审核裁定,系统办理,一审,二审共计10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申请:单位办事人员通过自助经办系统或区社保用户通过业务经办系统办理工伤异地就医备案业务。
补正材料:服务对象提交的事项申请，经过受理，并且为容缺受理时，服务对象可通过网上待办或线下完成容缺材料补全。
系统预审:部分申请不需要进行人工预审，由系统自动预审，生成受理回执。
审核A:区社保中心经办部门审核人员为了完成对工伤异地就医备案的审核，通过业务经办系统下载和校对申请材料，并核实信息和材料是否有误后提交审核结果。
审核B:区社保中心经办部门审核人员为了完成对工伤异地就医备案的审核，通过业务经办系统下载和校对申请材料，并核实信息和材料是否有误后提交审核结果。
人工预审:区社保中心经办部门受理人员为了完成对工伤异地就医备案的受理，通过业务经办系统下载和校对单位提供的申请材料，并核实信息和材料是否有误后提交受理结果。
审核裁定:并行审核结论不一致，或提交数据不一致时，由裁定人员选择并行审核某一条作为审核结论
系统办理:审核通过后系统保存工伤人员异地就医备案信息，发起材料归档。
一审:区社保中心经办部门审核人员为了完成对工伤异地就医备案的审核，通过业务经办系统下载和校对申请材料，并核实信息和材料是否有误后提交审核结果。
二审:区社保中心经办部门审核人员为了一审审核的工伤异地备案信息进行审核，并核实信息和材料是否有误后提交审核结果。</t>
  </si>
  <si>
    <t>135</t>
  </si>
  <si>
    <t>工伤参保待遇-工伤保险待遇调整</t>
  </si>
  <si>
    <t>建设工伤保险待遇调整事项包括申请,容缺材料补全,系统预审,审核A,审核B,审核C,人工预审,审核裁定,会审,复核,系统办理,现场验原件,一审,二审,三审,撤销共16个节点，实现工伤保险待遇调整人员因特殊情况需要实现工伤保险待遇调整，可通过人社经办大厅（RA）渠道完成工伤保险待遇调整操作。系统需要同时收集相关经办材料，待事项完成后发起相关归档工作。
本次建设涉及申请,补正材料,审核A,审核B,审核裁定,系统办理,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申请:人社经办大厅办事人员办理工伤保险待遇调整业务。
补正材料:人社经办大厅办事人员对工伤保险待遇调整业务的材料进行补全操作。
审核A:区社保中心经办部门审核人员为了完成对工伤保险待遇调整申请的审核，通过业务经办系统下载和校对申请材料，并核实信息和材料是否有误后提交审核结果。
审核B:区社保中心经办部门审核人员为了完成对工伤保险待遇调整申请的审核，通过业务经办系统下载和校对申请材料，并核实信息和材料是否有误后提交审核结果。
审核裁定:区社保中心经办部门审核人员为了完成对工伤保险待遇调整申请的审核，对审核A和审核B的审核结果进行最终确认。
系统办理:审核通过后系统更新工伤保险待遇信息，发起材料归档。
撤销:由于风控、单位发起、业务经办人员发起等原因可以操作事项撤销。更新事项状态、工伤保险待遇信息。</t>
  </si>
  <si>
    <t>136</t>
  </si>
  <si>
    <t>工伤参保待遇-工伤保险先行支付业务台账</t>
  </si>
  <si>
    <t>建设工伤保险先行支付业务台账事项包括受理共1个节点，通过人员证件类型，责任单位，区县，工伤认定号等信息查询工伤先行支付台账信息，后续可进行移送，修改第三方侵权责任单位信息，查询法律文书明细，查询先行支付明细等功能，可通过线下窗口申请办理工伤保险先行支付业务台账事项。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</si>
  <si>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137</t>
  </si>
  <si>
    <t>工伤参保待遇-劳动能力鉴定查询</t>
  </si>
  <si>
    <t>建设劳动能力鉴定查询事项包括受理共1个节点，实现区社保中心经办部门受理人员因对工伤待遇、职保退休信息审核需要实现劳动能力鉴定信息校对，可通过人社经办大厅（RA）办理劳动能力鉴定查询以进行校对。
本次建设涉及共计1个节点功能的对接建设。需按节点流程梳理相关数据字段和字典的对照关系，完成数据查询、条件判断的数据源切换；</t>
  </si>
  <si>
    <t>138</t>
  </si>
  <si>
    <t>工伤参保待遇-工伤保险按项目参保查询</t>
  </si>
  <si>
    <t>工伤保险按项目参保查询事项包括受理共1个节点，实现区社保中心经办部门受理人员因对建设项目登记信息审核需要实现建设项目登记信息校对，可通过人社经办大厅（RA）办理工伤保险按项目参保查询获取建设项目登记信息以进行校对。
本次建设涉及共计1个节点功能的对接建设。需按节点流程梳理相关数据字段和字典的对照关系，完成数据查询、条件判断的数据源切换；</t>
  </si>
  <si>
    <t>139</t>
  </si>
  <si>
    <t>工伤参保待遇-工伤人员(供养亲属)待遇抵扣金额调整</t>
  </si>
  <si>
    <t>建设工伤人员(供养亲属)待遇抵扣金额调整事项包括申请,容缺材料补全,系统预审,审核A,审核B,审核C,人工预审,审核裁定,会审,复核,系统办理,现场验原件,一审,二审,三审,撤销共16个节点，实现社保经办人员因需对工伤人员、供养亲属抵扣金额调整，需要实现调整抵扣，并自动计算待遇发放金额，可通过人社经办大厅（RA）渠道完成工伤人员(供养亲属)待遇抵扣金额调整操作。
本次建设涉及申请,复核,系统办理,一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申请:对工伤人员(供养亲属)录入外省市抵扣金额
一审:对申请录入的信息和上传材料进行审核
复核:一审信息和申请信息不一致时，区社保中心经办部门审核人员为了完成工伤人员(供养亲属)待遇抵扣金额调整的复核，通过业务经办系统录入复核信息并提交审核结果。
系统办理:审核通过后系统更新工伤保险抵扣信息、待遇发放信息，发起材料归档。</t>
  </si>
  <si>
    <t>140</t>
  </si>
  <si>
    <t>工伤参保待遇-工伤保险按月待遇查询</t>
  </si>
  <si>
    <t>建设工伤保险按月待遇查询事项包括申请共1个节点，实现工伤人员根据该人员证件号码查询当月应支付工伤按月待遇金额，可通过线下窗口申请办理工伤保险按月待遇查询事项。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</si>
  <si>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141</t>
  </si>
  <si>
    <t>工伤参保待遇-工伤保险先行支付台帐综合查询</t>
  </si>
  <si>
    <t>建设工伤保险先行支付业务台账事项包括申请共1个节点，通过人员证件类型，用人单位，区县，工伤认定号，移送时间，接受时间等信息查询工伤先行支付台账信息，可通过线下窗口申请办理工伤保险先行支付业务台账事项。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</si>
  <si>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142</t>
  </si>
  <si>
    <t>工伤参保待遇-工伤保险支缴率浮动费率查询</t>
  </si>
  <si>
    <t>建设工伤保险支缴率浮动费率查询事项包括查询共1个节点，实现工伤保险参保单位因单位支缴率查询需要实现单位工伤保险支缴率浮动费率查询，可通过人社经办大厅（RA）渠道完成查询操作。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</si>
  <si>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143</t>
  </si>
  <si>
    <t>工伤参保待遇-打印结算单（外省市工伤职工来沪工伤康复）</t>
  </si>
  <si>
    <t>建设打印结算单（外省市工伤职工来沪工伤康复）事项包括申请销共1个节点，实现工伤康复机构结算单打印，可通过人社经办大厅（RA）渠道完成打印结算单。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</si>
  <si>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144</t>
  </si>
  <si>
    <t>工伤参保待遇-工伤异地就医直接结算备案</t>
  </si>
  <si>
    <t>建设工伤异地就医直接结算备案事项包括申请,容缺材料补全,系统预审,审核A,审核B,审核C,人工预审,审核裁定,会审,复核,系统办理,现场验原件,一审,二审,三审,撤销共16个节点，实现工伤认定人员因工伤异地就医需要实现异地就医备案直接结算，可通过人社经办大厅（RA）渠道完成业务申请。系统需要同时收集相关经办材料，待事项完成后发起相关归档工作。
本次建设涉及申请,审核A,审核B,审核裁定,系统办理共计5个节点功能的对接建设。需按节点流程梳理相关数据字段和字典的对照关系，完成数据查询、条件判断的数据源切换；梳理数据保存的处理逻辑，实现业务数据的入库工作。
申请:根据人员信息查询工伤认定信息，选择相关的工伤认定信息后补充一些其他信息包括联系电话、联系地址、电子邮箱、单位邮编、单位联系人、单位/申请人联系电话、单位联系地址。选定异地就医类型，目前包含转诊转院（就医）、转诊转院（康复）、居外（就医）、居外（康复）、驻外（就医）、驻外（康复）、转诊转院（辅具）、居外（辅具）、驻外（辅具）并可后续扩充。若选择辅具系列，需添加辅具配置信息，相关信息包含配置类别、配置数量、最低使用期限月数、辅助器具名称、最大支付限额、核付通知书单号。根据选择的异地就医申请类型，查询符合类型的医院列表所在省市区行政区划代码填充就医地行政区划列表，然后需补充转出地医疗机构名称、转出地医疗机构等级、转出地医疗机构电话、转出地医疗机构地址。并需要提供材料文件，包含但不限于：工伤认定书、协议机构转诊转院意见、常驻异地工作佐证材料、工伤保险跨省异地就医（康复）直接结算备案表、异地长期居住佐证材料、核付通知单、工伤保险跨省异地配置辅助器具直接结算备案表。需要上传的材料是根据选定的异地就医申请类型给出对应材料列表。
审核A:根据申请人相关信息和提供的相关材料进行信息核对和审核，做出审核意见和备注。
审核B:根据申请人相关信息和提供的相关材料进行信息核对和审核，做出审核意见和备注。
审核裁定:若审核AB角审核意见相悖，进入审核裁定节点，由裁定人员查看申请人提供的相关信息和材料，核对审核AB角审核信息并进一步核实情况，做出裁定。
系统办理：根据申请信息完成业务逻辑，数据校验，相关业务规则的校验，联动外部接口或数据完成一切校验后执行业务信息的入库。</t>
  </si>
  <si>
    <t>145</t>
  </si>
  <si>
    <t>工伤参保待遇-工伤异地就医直接结算备案信息调整</t>
  </si>
  <si>
    <t>建设工伤异地就医直接结算备案信息调整事项包括申请,容缺材料补全,系统预审,审核A,审核B,审核C,人工预审,审核裁定,会审,复核,系统办理,现场验原件,一审,二审,三审,撤销共16个节点，实现工伤人员因备案信息发生变动需要实现变更工伤异地就医直接结算备案信息，可通过人社经办大厅（RA）渠道完成业务申请。系统需要同时收集相关经办材料，待事项完成后发起相关归档工作。
本次建设涉及申请,系统办理,一审,二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根据人员信息查询该人员存在的直接结算备案信息，选定要变更的备案信息，可变更内容包括备案类型、就医地行政区划、联系电话、联系地址、电子邮箱、单位邮编、单位联系人、单位/联系人联系电话、单位名称、单位联系地址、备案状态、备案状态变更原因。并需要提供材料文件，包含但不限于：工伤认定书、协议机构转诊转院意见、常驻异地工作佐证材料、工伤保险跨省异地就医（康复）直接结算备案表、异地长期居住佐证材料、核付通知单、工伤保险跨省异地配置辅助器具直接结算备案表。需要上传的材料是根据选定的异地就医申请类型给出对应材料列表。
一审:根据申请人相关信息和提供的相关材料进行信息核对和审核，做出审核意见和备注。
二审:根据申请人相关信息和提供的相关材料进行信息核对和审核，审核一审人员做出的审核决定和备注。
系统办理:根据申请信息完成业务逻辑，数据校验，相关业务规则的校验，联动外部接口或数据完成一切校验后执行业务信息的入库。</t>
  </si>
  <si>
    <t>146</t>
  </si>
  <si>
    <t>工伤参保待遇-电子票据使用状态维护</t>
  </si>
  <si>
    <t>建设电子票据使用状态维护事项包括申请、一审共2个节点，通过人员票据代码，票据号码，校验码及证件号码信息查询工伤人员电子票据信息，可进行撤销操作，撤销该票据使用状态，可通过线下窗口申请办理电子票据使用状态维护事项。系统需要同时收集相关经办材料，待事项完成后发起相关归档工作。
本次建设涉及申请,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申请:区社保用户通过业务经办系统办理单位内电子票据使用状态维护业务。
一审:区社保中心经办部门审核人员为了完成对工伤异地就医备案的审核，通过业务经办系统下载和校对申请材料，并核实信息和材料是否有误后提交审核结果。</t>
  </si>
  <si>
    <t>147</t>
  </si>
  <si>
    <t>工伤参保待遇-外省市工伤职工来沪配置辅助器具</t>
  </si>
  <si>
    <t>建设外省市工伤职工来沪配置辅助器具事项包括申请,容缺材料补全,系统预审,审核A,审核B,审核C,人工预审,审核裁定,会审,复核,系统办理,现场验原件,一审,二审,三审,撤销共16个节点，实现辅具机构办理异地就医结算外省市工伤职工来沪配置辅助器具需要实现部中心业务节点数据上传工作，可通过人社经办大厅（RA）完成外省市工伤职工来沪配置辅助器具的办理/操作。系统需要同时收集相关经办材料，待事项完成后发起相关归档工作。
本次建设涉及申请,复核,系统办理,一审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申请：辅具机构办事人员通过通过业务经办系统录入个人及相关辅具配置信息，登记业务。
一审：区社保中心经办部门审核人员为了完成外省市工伤职工来沪配置辅助器具审核，通过业务经办系统下载和校对机构的申请信息，并核实信息和材料是否有误后提交审核结果。
复核：一审信息和申请信息不一致时，区社保中心经办部门审核人员为了完成建设项目工伤保险登记的复核，通过业务经办系统录入复核信息并提交审核结果。
系统办理：审核通过后，系统保存相关审核信息，并推送财务支付信息。</t>
  </si>
  <si>
    <t>148</t>
  </si>
  <si>
    <t>工伤参保待遇-辅助器具配置申请信息查询</t>
  </si>
  <si>
    <t>建设辅助器具配置申请信息查询事项包括节点,撤销共2个节点，实现辅助器具配置申请人员因辅助器具配置申请信息查询需求需要实现辅助器具配置申请信息查询，可通过人社经办大厅（RA）渠道完成辅助器具配置申请信息查询操作。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</si>
  <si>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149</t>
  </si>
  <si>
    <t>工伤参保待遇-异地就医手动操作</t>
  </si>
  <si>
    <t>建设异地就医手动操作事项包括办理共1个节点，实现社保业务人员因异地就医数据传递异常情况需要实现手动处理部中心数据节点需要，可通过人社经办大厅（RA）完成办理。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</si>
  <si>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150</t>
  </si>
  <si>
    <t>工伤参保待遇-工伤待遇支付信息查询</t>
  </si>
  <si>
    <t>建设工伤待遇支付信息查询事项包括申请共1个节点，根据工伤人员证件号码查询当月工伤人员名下已支付或尚未支付但产生支付信息的待遇支付信息，包含一次性支付个人，一次性支付单位，按月支付，按月退回等信息，可通过线下窗口申请办理工伤待遇支付信息查询事项。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</si>
  <si>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151</t>
  </si>
  <si>
    <t>工伤参保待遇-不可报销医疗项目查询</t>
  </si>
  <si>
    <t>建设不可报销医疗项目查询事项包括申请共1个节点，实现市中心业务经办人员因支付医疗费需要实现查看不可保险医疗项目信息，可通过人社经办大厅（RA）渠道完成不可报销医疗项目查询。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</si>
  <si>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152</t>
  </si>
  <si>
    <t>工伤参保待遇-工伤人员、供养亲属关键信息调整</t>
  </si>
  <si>
    <t>建设工伤人员、供养亲属关键信息调整事项包括申请,容缺材料补全,系统预审,审核A,审核B,审核C,人工预审,审核裁定,会审,复核,系统办理,现场验原件,一审,二审,三审,撤销共16个节点，实现工伤人员或工伤供养亲属因按月待遇的截至日期调整及是否分户需要实现按月发放期限及方式调整，可通过人社经办大厅（RA）渠道完成工伤人员、供养亲属关键信息调整。系统需要同时收集相关经办材料，待事项完成后发起相关归档工作。
本次建设涉及申请,补正材料,审核A,审核B,审核裁定,系统办理,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申请:业务经办人员根据申请录入工伤人员、供养亲属按月待遇截至日期或待遇支付方式
补正材料:
审核A:根据受理人员录入的信息及上传的材料进行并行审核
审核B:根据受理人员录入的信息及上传的材料进行并行审核
审核裁定:对审核A和审核B的信息进行裁定，并提交裁定结论
系统办理:保存录入信息，并调整每月待遇信息。
撤销：选择需要撤销的审核通过事项，对已保存的事项信息进行撤销操作。</t>
  </si>
  <si>
    <t>153</t>
  </si>
  <si>
    <t>工伤参保待遇-工伤保险异地就医直接结算统计结果查询</t>
  </si>
  <si>
    <t>建设工伤保险异地就医直接结算统计结果查询事项包括查询共1个节点，实现地方因统计核对需要实现对本地业务数据与部端数据一致性的校验核对统计，可通过人社经办大厅（RA）渠道完成相关数据的查询。系统根据查询类别和查询期别查询相关数据并完成分类统计给出查询统计结果。
本次建设涉及共计1个节点功能的对接建设。该节点完成查询页面的展示和按钮交互，查询结果的展示。查询条件包含查询类别和查询期别，其中查询类别包括网上申请备案情况、有效备案情况（作为参保地）、直接结算人次（作为就医地）、直接结算金额（作为就医地）。
查询结果根据不同的查询类别展示不同的数据列。其中都有的共有列是序号、省份、期别。查询类别为网上申请备案情况的查询结果列表显示列还有提出申请、审核情况、结果情况、超期情况，其中审核情况下细分三个小列为已审核、未审核和审核率，结果情况下细分三个小列为审核通过、审核不通过和审核通过率，超期情况下细分两个小列为超期未审核和超期率。当查询类别为有效备案情况（作为参保地）、直接结算人次（作为就医地）、直接结算金额（作为就医地）时，展示的结果列是一样的，除了其中都有的共有列是序号、省份、期别外，其他列为合计、工伤医疗、工伤康复、辅助配置。其中工伤医疗、工伤康复和辅助配置下都有四个细分的小列为合计、异地长期居住、常驻异地工作、转诊转院。</t>
  </si>
  <si>
    <t>154</t>
  </si>
  <si>
    <t>工伤参保待遇-定点医疗机构费用结算支付情况查询</t>
  </si>
  <si>
    <t>建设定点医疗机构费用结算支付情况查询事项包括查询共1个节点，实现对定点医疗结构费用的结算支付情况历史信息的查询统计核。实现对本地业务数据与实际业务数据一致性的校验核对统计，可通过人社经办大厅（RA）渠道完成相关数据的查询。系统根据查询类别和查询条件查询相关数据并完成分类统计给出查询统计结果。
本次建设涉及共计1个节点功能的对接建设。该节点完成查询页面的展示和按钮交互，查询结果的展示。查询统计包含3个小页面分别为：汇总情况查询、预处理设置及查询、抵扣明细查询三个tips。其中汇总情况查询tip的查询条件是上报年月、汇总情况、医疗机构名称、费用类型，其中汇总情况和费用类型为下拉选项，汇总情况包括为汇总、已汇总和准汇总。费用类型包括医疗、康复、抵扣_医疗和抵扣_康复。查询结果列表显示列为费用类型、上报年月、医院名称、机构代码、户名、开户行、银行卡号、金额、汇总情况、未纳入汇总原因、支付情况、总笔数、总金额。预处理设置及查询tip的页面包含预处理设置模块的上报年月和定时任务执行日期，预处理查询条件包含上报时间和起止时间，与处理结果查询结果列表包含执行时间、执行结果和不通过原因。抵扣明细查询tip页面查询条件包含机构代码、医院名称、个人身份证号、抵扣类型、抵扣年月、流水号，其中抵扣类型为下拉列表，选项包含医疗和康复。查询结果列表分为两个tips，一个发生抵扣数据结果表格，查询结果列包含流水号、身份证号、姓名、确认意见文号、机构名称、抵扣年月、应抵扣金额、抵扣金额、机构代码、抵扣类型、费用类型。未完全抵扣tip的查询结果列包含流水号、身份证号、姓名、机构代码、机构名称、应抵扣金额、剩余未抵扣金额、抵扣类型。</t>
  </si>
  <si>
    <t>155</t>
  </si>
  <si>
    <t>工伤参保待遇-工伤医疗费用结算信息收取</t>
  </si>
  <si>
    <t>建设工伤医疗费用结算信息收取事项包括申请共1个节点，实现社保中心市级工作人员因导入医保提供的医疗费信息盘片需要实现工伤医疗费用结算信息，可通过人社经办大厅（RA）渠道完成工伤医疗费用结算信息收取办理。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</si>
  <si>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156</t>
  </si>
  <si>
    <t>工伤参保待遇-1 - 4 级工伤人员伤残津贴与生活护理费统计​</t>
  </si>
  <si>
    <t>通过多维度的数据呈现，为工伤基金的管理、工伤待遇政策的评估与调整提供了详细的数据依据，有助于保障工伤人员的合法权益，优化工伤保障制度。</t>
  </si>
  <si>
    <t>157</t>
  </si>
  <si>
    <t>工伤参保待遇-本市工伤人员工伤保险待遇金额及人数分类型统计​</t>
  </si>
  <si>
    <t>呈现本市工伤人员在不同用人单位类型下，按等级和职业病等级享受工伤保险待遇的金额和人数数据，以及老工伤人员相应的待遇情况。通过整合多份报表数据，为工伤保险政策的评估与调整、基金的合理规划、不同类型单位工伤风险的把控等工作提供了全面且细致的数据依据，有助于提升工伤保险工作的管理水平，切实保障工伤人员和老工伤人员的合法权益。</t>
  </si>
  <si>
    <t>158</t>
  </si>
  <si>
    <t>工伤参保待遇-工伤保险人员情况与工伤认定工作统计​</t>
  </si>
  <si>
    <t>指标枚举涵盖基础信息（区县）、工伤认定全流程数据（认定申请数、当期受理申请件数、不予受理数、当期不予受理申请件数、受理数、认定数、放弃申请数、行政复议件数等）、工伤保险待遇数据（工伤保险累计享受待遇人数、当年享受待遇人数、当年享受待遇金额） 。该表全面呈现从工伤认定申请到待遇享受的全链条数据，既能反映各区县工伤认定工作效率、法律争议情况，又能体现工伤保险基金支出规模与人员覆盖范围，为政策制定、基金监管、工作流程优化提供多维度数据支撑，助力提升工伤保障体系的精准性与管理效能。</t>
  </si>
  <si>
    <t>159</t>
  </si>
  <si>
    <t>工伤参保待遇-工伤认定相关要素综合统计​</t>
  </si>
  <si>
    <t>指标枚举涵盖基础信息类 **：区县、认定机构；认定结果类：认定单位数、认定结论、认定项目数；人员相关类：认定人员分类、学历；工伤特征类：工种、受伤部位 。该表全面整合了工伤认定过程中涉及的单位、人员、机构及工伤特征等多维度数据，可用于分析各区县工伤认定工作规模、不同机构认定业务侧重，以及工伤人群的职业、学历分布和受伤特点，为优化工伤认定流程、完善工伤预防策略、制定针对性保障政策提供全面的数据支持。</t>
  </si>
  <si>
    <t>160</t>
  </si>
  <si>
    <t>工伤参保待遇-因工死亡人员供养亲属抚恤金统计​</t>
  </si>
  <si>
    <t>指标枚举包含供养亲属抚恤金工伤基金支付金额 ，反映基金在供养亲属抚恤方面的支出规模；支付人次，体现受惠供养亲属的数量；月人均支付额，展示平均每位供养亲属每月获得的抚恤金金额 。该表整合月度与年度数据，全面呈现因工死亡人员供养亲属抚恤金的支付情况，为工伤基金的合理规划、抚恤政策的动态调整、保障供养亲属基本权益提供数据依据，同时也便于分析抚恤金支出趋势，优化基金使用效率。</t>
  </si>
  <si>
    <t>161</t>
  </si>
  <si>
    <t>工伤参保待遇-按项目参保的工伤保险情况统计</t>
  </si>
  <si>
    <t>在参保项目方面，市人社统 19 号表统计各区县当月及当年累计新建项目、当月及当年累计在建项目情况，反映项目参保的动态变化。在待遇享受层面，项目参保工伤享受待遇金额情况表和项目参保工伤享受待遇人数情况表，分别从金额和人数角度进行统计，按等级分类及职业病等级分类统计享受工伤保险待遇人数，以及当年享受工伤待遇人数等信息，呈现工伤保险待遇享受的人员分布和资金支出情况。这些数据全面反映了工伤保险在项目参保及待遇享受方面的情况，为评估工伤保险政策实施效果、合理规划资金和优化服务提供了详实的数据依据。</t>
  </si>
  <si>
    <t>162</t>
  </si>
  <si>
    <t>工伤参保待遇-本市工伤保险项目参保及待遇情况统计</t>
  </si>
  <si>
    <t>参保方面，本市工伤保险项目参保情况统计月报表依据行业工伤风险类别划分以及工程项目总造价核算，呈现工伤保险的参保结构和造价相关数据，反映参保的行业分布与资金规模情况。待遇层面，本市工伤人员享受工伤保险待遇人数情况表和本市工伤人员享受工伤保险待遇金额情况表，均从按等级分类、按职业病等级分类等角度，分别统计享受待遇的人数和金额，清晰展示工伤人员享受待遇在不同等级分类下的人数分布以及相应的资金支出状况。这些数据为评估工伤保险政策实施效果、合理规划资金、优化参保结构等提供了全面且细致的信息支撑。</t>
  </si>
  <si>
    <t>163</t>
  </si>
  <si>
    <t>工伤参保待遇-参加工伤保险综合情况统计</t>
  </si>
  <si>
    <t>在参保管理上，既记录未参保工程建设项目的区县、总承包单位等信息，明确扩面重点，也通过参保单位户数、参保人数、缴费人数等数据呈现参保规模动态，还以工程建设项目为对象，统计在建、新建项目数及参保项目数，掌握项目参保进度；待遇享受方面，按区县统计当月及当年累计享受待遇人数，直观展现待遇落实情况；费率执行层面，记录行业类别、基准费率、实际费率等，助力评估政策执行效果；费用结算维度，统计单位名称、结算人次及金额，清晰呈现基金使用情况。此外，表格还涉及超龄、实习生等特殊群体参保明细 ，整合的数据为政策制定、基金监管、参保优化提供一站式数据支撑。</t>
  </si>
  <si>
    <t>164</t>
  </si>
  <si>
    <t>工伤参保待遇-非因工死亡职工遗属待遇情况统计</t>
  </si>
  <si>
    <t>在数据指标层面，通过项目分类，记录领取遗属待遇人数、领取遗属待遇总月数以及本期应发遗属待遇金额，清晰展现遗属待遇享受的人员规模、时间跨度与资金支出情况；在时间维度上，既涵盖当月的即时数据，反映当月遗属待遇的享受状况，又包含累计数据，可直观呈现遗属待遇在一段时间内的整体情况。这些数据为社保中心掌握遗属待遇发放动态、规划资金预算、评估政策实施效果提供了精准的数据依据。</t>
  </si>
  <si>
    <t>165</t>
  </si>
  <si>
    <t>工伤参保待遇-工伤保险全业务数据统计</t>
  </si>
  <si>
    <t>围绕工伤保险业务，从参保人员、待遇享受、康复费用、先行支付追偿等多个维度全面整合数据。参保人员方面，记录参保人数、缴费人数，以及上年转入不同情况人员、1 - 4 级工伤职工退休手续办理等信息，呈现参保动态与人员流转；待遇享受维度，统计享受伤残、工亡待遇人数，细分伤残待遇与因工死亡待遇，清晰展现待遇落实情况；康复费用层面，涵盖医疗费用、一次性工伤医疗补助金等多项支出，反映工伤保险在康复预防方面的资金投入；先行支付追偿维度，通过案例个数、基金支付等数据，追踪先行支付业务进展与资金追偿状况。这些数据为社保中心优化工伤保险政策、合理调配基金、提升服务水平提供了全方位的数据支持 。</t>
  </si>
  <si>
    <t>166</t>
  </si>
  <si>
    <t>工伤参保待遇-基层快递网点工伤保险参保情况统计</t>
  </si>
  <si>
    <t>宏观层面，以区县为单位，统计当月及当年参保户数、参保人数，直观反映基层快递网点工伤保险的参保进度与规模变化，可用于分析各区县参保推进力度和整体参保趋势；微观层面，涵盖基层快递从业人员的姓名、性别等详细个人信息，能精准定位参保人员，便于核查参保覆盖的全面性，以及对个体权益保障情况进行追踪。这些数据整合后，为社保中心全面掌握基层快递行业参保动态、优化政策落实、保障快递从业人员工伤保险权益提供了详实且多维度的数据依据。</t>
  </si>
  <si>
    <t>167</t>
  </si>
  <si>
    <t>工伤参保待遇-各区县工伤人员享受工伤保险待遇情况统计</t>
  </si>
  <si>
    <t>包含 “当年享受工伤待遇人数”“当年享受伤残津贴人数”“当年享受一次性伤残补助人数” 等 21 项数据指标。通过这些数据，可以清晰地了解到每个区县在当年工伤保险待遇享受方面的具体情况，包括不同类型待遇的享受人数等，能帮助社保中心掌握各区县工伤人员待遇享受的分布状况，为评估基金支出压力、调整政策以及优化服务提供数据支持。例如，通过对比各区县当年享受工伤待遇人数，可以了解到工伤事故在不同区域的发生频率；分析当年享受伤残津贴人数和当年享受一次性伤残补助人数的比例，能为制定更合理的待遇发放标准提供参考依据。</t>
  </si>
  <si>
    <t>168</t>
  </si>
  <si>
    <t>工伤参保待遇-工伤保险综合信息</t>
  </si>
  <si>
    <t>记录了住院工伤（职业伤害）康复确认的具体信息，如康复机构、康复时长、康复项目等；工伤保险辅助器具配置结算明细信息，包括辅助器具名称、配置金额、结算金额等；工伤保险人员记账信息，涵盖人员基本信息、记账金额、记账时间等；工伤保险待遇审核信息，如待遇类型、审核金额、审核状态等；工伤保险先行支付台账信息，有先行支付金额、支付时间、偿还情况等；工伤保险支付医保明细信息，包含医保支付金额、支付项目等；工伤保险待遇申请信息，涉及申请时间、申请待遇类型等；社会保险待遇中工伤护理费领取明细表，如领取人员、领取金额、领取时间等；大数据中心前置库工伤人员情况表，包括工伤人员基本信息、工伤发生情况等。反映了从工伤康复确认、辅助器具配置、待遇审核支付到先行支付偿还等工伤保险全流程的详细情况，为工伤保险业务管理、费用结算、待遇发放以及数据统计分析等工作提供了系统且完整的数据支持，有助于提升工伤保险业务的管理效率和服务质量。</t>
  </si>
  <si>
    <t>169</t>
  </si>
  <si>
    <t>工伤认定预防</t>
  </si>
  <si>
    <t>工伤认定预防-工伤认定部平台事项分配</t>
  </si>
  <si>
    <t>建设工伤认定部平台事项分配事项。包括查询节点。节点内共设置业务校验、查询、申请信息选择或录入功能。</t>
  </si>
  <si>
    <t>170</t>
  </si>
  <si>
    <t>工伤认定预防-工伤认定</t>
  </si>
  <si>
    <t>建设工伤认定事项。共计10个节点，包括文书打印、文书送达、补正材料、确认初审、确认复审、确认终审、受理初审、受理复审、受理终审、业务申请节点。节点内共设置业务校验、查询、申请信息选择或录入、经办审核功能。</t>
  </si>
  <si>
    <t>171</t>
  </si>
  <si>
    <t>工伤认定预防-工伤认定文书送达</t>
  </si>
  <si>
    <t>建设工伤认定文书送达事项。节点内共设置业务校验、查询、申请信息选择或录入功能。</t>
  </si>
  <si>
    <t>172</t>
  </si>
  <si>
    <t>工伤认定预防-工伤认定信息管理</t>
  </si>
  <si>
    <t>建设工伤认定信息管理事项（包括二审、申请、一审 3 个节点，节点内设置业务校验、查询、申请信息选择或录入、经办审核功能）、工伤认定信息查询事项（包括信息查询 1 个节点，节点内设置业务校验、查询、申请信息选择或录入、经办审核功能）。</t>
  </si>
  <si>
    <t>173</t>
  </si>
  <si>
    <t>工伤认定预防-工伤认定事项分配</t>
  </si>
  <si>
    <t>建设工伤认定事项分配事项。包括事项分配节点。节点内共设置业务校验、查询、申请信息选择或录入功能。</t>
  </si>
  <si>
    <t>174</t>
  </si>
  <si>
    <t>工伤认定预防-工伤认定事项回退</t>
  </si>
  <si>
    <t>建设工伤认定事项回退事项。包括三级审核、二级审核、事项回退、一级审核节点。节点内共设置业务校验、查询、申请信息选择或录入、经办审核功能。</t>
  </si>
  <si>
    <t>175</t>
  </si>
  <si>
    <t>工伤认定预防-工伤预防项目立项</t>
  </si>
  <si>
    <t>建设工伤预防立项事项。包括立项申报、立项初审、驳回信息修改、立项复审节点。节点内共设置业务校验、查询、申请信息选择或录入、经办审核功能。</t>
  </si>
  <si>
    <t>176</t>
  </si>
  <si>
    <t>劳动能力鉴定</t>
  </si>
  <si>
    <t>劳动能力鉴定-因病劳动能力鉴定</t>
  </si>
  <si>
    <t>建设因病劳动能力鉴定事项，共计28个节点，包括待缴费、鉴定案卷归档、补充医疗检查、补正病史材料、补正受理材料、待安排鉴定、待录入寄送日期、待录入送达日期、鉴定初审、鉴定复审、鉴定预审、鉴定终审、校核鉴定结论、受理初审、受理复审、申请信息录入、疑难案例讨论、劳动能力鉴定专家组意见录入、主检专家录入、终止安排鉴定、打印鉴定结论、公告送达、提请劳动能力鉴定专家组复核、放弃转科、补充疑难案例检查、补充专家组复核检查、补正疑难案例材料、补正专家组复核材料节点。节点内共设置业务校验、查询、申请信息选择或录入、经办审核功能。</t>
  </si>
  <si>
    <t>177</t>
  </si>
  <si>
    <t>劳动能力鉴定-鉴定专家抽取</t>
  </si>
  <si>
    <t>建设鉴定专家抽取事项。包括新建场次、随机抽取、场次修改、抽取历史，抽取结果确认，节点内共设置业务校验、查询、申请信息选择或录入功能。</t>
  </si>
  <si>
    <t>178</t>
  </si>
  <si>
    <t>劳动能力鉴定-安排鉴定，评估安排</t>
  </si>
  <si>
    <t>建设安排鉴定事项。节点内共设置业务校验、查询、申请信息选择或录入功能。建设评估安排事项。节点内共设置业务校验、查询、申请信息选择或录入功能。</t>
  </si>
  <si>
    <t>179</t>
  </si>
  <si>
    <t>劳动能力鉴定-工伤初次（复查）致残程度鉴定</t>
  </si>
  <si>
    <t>建设工伤初次（复查）致残程度鉴定事项，共计27个节点，包括案卷归档、补充医疗检查、补正病史材料、补正受理材料、待安排鉴定、待录入寄送日期、待录入送达日期、鉴定初审、鉴定复审、鉴定预审、鉴定终审、校核鉴定结论、受理初审、受理复审、申请信息录入、疑难案例讨论、劳动能力鉴定专家组意见录入、主检专家录入、终止安排鉴定、打印鉴定结论、公告送达、提请劳动能力鉴定专家组复核、补充疑难案例检查、补充专家组复核检查、补正疑难案例材料、补正专家组复核材料、放弃转科、预审节点。节点内共设置业务校验、查询、申请信息选择或录入、经办审核功能。</t>
  </si>
  <si>
    <t>180</t>
  </si>
  <si>
    <t>劳动能力鉴定-住院工伤康复</t>
  </si>
  <si>
    <t>建设住院工伤康复事项，共计16个节点。包括案卷归档、案卷归档、补充上传材料、待安排康复、打印康复意见、初审、康复材料签收、康复计划备案、录入评估意见、确认书寄送、申请信息录入、初审、复审、预审、终审、疑难案例讨论节点。节点内共设置业务校验、查询、申请信息选择或录入、经办审核功能。</t>
  </si>
  <si>
    <t>181</t>
  </si>
  <si>
    <t>劳动能力鉴定-工伤再次致残程度鉴定</t>
  </si>
  <si>
    <t>建设工伤再次致残程度鉴定事项。共计27个节点，包括补充医疗检查、补正病史材料、补正受理材料、待安排鉴定、待录入寄送日期、待录入送达日期、鉴定初审、鉴定复审、案卷归档、鉴定预审、鉴定终审、校核鉴定结论、受理初审、受理复审、申请信息录入、疑难案例讨论、劳动能力鉴定专家组意见录入、主检专家录入、终止安排鉴定、打印鉴定结论、公告送达、提请劳动能力鉴定专家组复核、放弃转科、补充疑难案例检查、补充专家组复核检查、补正疑难案例材料、补正专家组复核材料节点。节点内共设置业务校验、查询、申请信息选择或录入、经办审核功能。</t>
  </si>
  <si>
    <t>182</t>
  </si>
  <si>
    <t>劳动能力鉴定-鉴定专家变更</t>
  </si>
  <si>
    <t>建设鉴定专家变更事项。包括鉴定专家变更二审、鉴定专家变更三审、鉴定专家变更一审节点。节点内共设置业务校验、查询、申请信息选择或录入功能。</t>
  </si>
  <si>
    <t>183</t>
  </si>
  <si>
    <t>劳动能力鉴定-风险预警管理</t>
  </si>
  <si>
    <t>建设风险预警查询事项。包括风险预警信息处理、预警初审、预警定时任务、预警节点。节点内共设置业务校验、查询、申请信息选择或录入功能。</t>
  </si>
  <si>
    <t>184</t>
  </si>
  <si>
    <t>劳动能力鉴定-确认书送达管理、专家信息维护</t>
  </si>
  <si>
    <t>建设确认书送达事项。包括送达信息录入节点。节点内共设置业务校验、查询、申请信息选择或录入功能。建设专家信息维护事项。节点内共设置业务校验、查询、申请信息选择或录入功能。</t>
  </si>
  <si>
    <t>185</t>
  </si>
  <si>
    <t>劳动能力鉴定-康复计划备案、康复计划录入</t>
  </si>
  <si>
    <t>建设康复计划备案事项。包括申请信息录入节点。节点内共设置业务校验、查询、申请信息选择或录入功能。建设康复计划录入事项。包括初审、申请信息录入节点。节点内共设置业务校验、查询、申请信息选择或录入功能。</t>
  </si>
  <si>
    <t>186</t>
  </si>
  <si>
    <t>劳动能力鉴定-康复计划变更、康复计划延期</t>
  </si>
  <si>
    <t>建设康复计划变更事项。包括变更信息录入节点。节点内共设置业务校验、查询、申请信息选择或录入功能。建设康复计划延期事项。包括康复计划延期节点。节点内共设置业务校验、查询、申请信息选择或录入功能。</t>
  </si>
  <si>
    <t>187</t>
  </si>
  <si>
    <t>劳动能力鉴定-鉴定信息修改、案卷归档</t>
  </si>
  <si>
    <t>建设鉴定信息修改事项。包括鉴定信息修改节点。节点内共设置业务校验、查询、申请信息选择或录入功能。建设案卷归档事项。包括案卷归档节点。节点内共设置业务校验、查询、申请信息选择或录入功能。</t>
  </si>
  <si>
    <t>188</t>
  </si>
  <si>
    <t>劳动能力鉴定-康复专家抽取、康复信息修改</t>
  </si>
  <si>
    <t>建设康复专家抽取事项。节点内共设置业务校验、查询、申请信息选择或录入功能。建设康复信息修改事项。包括康复信息修改节点。节点内共设置业务校验、查询、申请信息选择或录入功能。</t>
  </si>
  <si>
    <t>189</t>
  </si>
  <si>
    <t>劳动能力鉴定-综合打印</t>
  </si>
  <si>
    <t>建设康复确认意见补打印事项，康复意见打印，住院工伤康复打印信封，打印住院工伤康复确认意见，打印缴费二维码，建设补打印结论书事项，共计6个事项。节点内共设置业务校验、查询、申请信息选择或录入等功能。</t>
  </si>
  <si>
    <t>190</t>
  </si>
  <si>
    <t>劳动能力鉴定-鉴定设置管理</t>
  </si>
  <si>
    <t>建设录入寄送日期事项，录入送达日期事项，录入康复寄送日期事项,风险预警设置事项，共计4个节点，节点内共设置业务校验、查询、申请信息选择或录入。</t>
  </si>
  <si>
    <t>191</t>
  </si>
  <si>
    <t>劳动能力鉴定-康复专家变更</t>
  </si>
  <si>
    <t>建设康复专家变更事项。包括受理初审、受理复审、受理终审、专家变更节点。节点内共设置业务校验、查询、申请信息选择或录入、经办审核功能。</t>
  </si>
  <si>
    <t>192</t>
  </si>
  <si>
    <t>劳动能力鉴定-康复信息批量归档</t>
  </si>
  <si>
    <t>建设康复信息批量归档事项。包括康复信息归档节点。节点内共设置业务校验、查询、申请信息选择或录入核功能。</t>
  </si>
  <si>
    <t>193</t>
  </si>
  <si>
    <t>劳动能力鉴定-医保数据出盘</t>
  </si>
  <si>
    <t>建设医保数据出盘事项。包括医保数据出盘节点。节点内共设置业务校验、查询、申请信息选择或录入功能。</t>
  </si>
  <si>
    <t>194</t>
  </si>
  <si>
    <t>劳动能力鉴定-职业伤害辅助器具配置确认</t>
  </si>
  <si>
    <t>建设职业伤害辅助器具配置确认事项。包括安排面检、登记面检结果、签收、申请信息录入、打印确认意见书节点。节点内共设置业务校验、查询、申请信息选择或录入、经办审核功能。</t>
  </si>
  <si>
    <t>195</t>
  </si>
  <si>
    <t>劳动能力鉴定-职业伤害录入</t>
  </si>
  <si>
    <t>建设职业伤害录入寄送日期事项。节点内共设置业务校验、查询、申请信息选择或录入功能。</t>
  </si>
  <si>
    <t>196</t>
  </si>
  <si>
    <t>劳动能力鉴定-批量导入缴费信息</t>
  </si>
  <si>
    <t>建设批量导入缴费信息事项。包括导入缴费信息节点。节点内共设置业务校验、查询、申请信息选择或录入功能。</t>
  </si>
  <si>
    <t>197</t>
  </si>
  <si>
    <t>劳动能力鉴定-医院信息维护，鉴定地点信息维护</t>
  </si>
  <si>
    <t>1、建设医院信息维护事项。节点内共设置业务校验、查询、申请信息选择或录入功能。2、建设鉴定地点信息维护事项。节点内共设置业务校验、查询、申请信息选择或录入功能。</t>
  </si>
  <si>
    <t>198</t>
  </si>
  <si>
    <t>劳动能力鉴定-批量导入退费</t>
  </si>
  <si>
    <t>建设批量导入退费事项。包括导入退费信息节点。节点内共设置业务校验、查询、申请信息选择或录入功能。</t>
  </si>
  <si>
    <t>199</t>
  </si>
  <si>
    <t>劳动能力鉴定-稽核事项维护、稽核归档</t>
  </si>
  <si>
    <t>1、建设稽核事项维护事项。包括设置节点。节点内共设置业务校验、查询、申请信息选择或录入功能。2、建设稽核录入寄送日期事项（包括查询打印节点，节点内设置业务校验、查询、申请信息选择或录入功能）、3、稽核归档事项（包括稽核归档节点，节点内设置业务校验、查询、申请信息选择或录入功能）、4、稽核信息查询事项（包括查询打印节点，节点内设置业务校验、查询、申请信息选择或录入功能）。</t>
  </si>
  <si>
    <t>200</t>
  </si>
  <si>
    <t>劳动能力鉴定-票据废止</t>
  </si>
  <si>
    <t>建设票据废止事项。包括查询退款节点。节点内共设置业务校验、查询、申请信息选择或录入功能。</t>
  </si>
  <si>
    <t>201</t>
  </si>
  <si>
    <t>劳动能力鉴定-稽核核查抽取</t>
  </si>
  <si>
    <t>建设稽核核查抽取事项。包括核查抽取节点。节点内共设置业务校验、查询、申请信息选择或录入功能。</t>
  </si>
  <si>
    <t>202</t>
  </si>
  <si>
    <t>劳动能力鉴定-稽核核查</t>
  </si>
  <si>
    <t>建设稽核核查事项。共计16个节点，包括打印撤销通知书、打印更正通知书、校核撤销通知书、校核更正通知书、科室负责人核查待办、录入寄送日期、归档、核查、核查情况说明、核查意见、审核初审、审核复审、审核终审节点。节点内共设置业务校验、查询、申请信息选择或录入、经办审核功能。</t>
  </si>
  <si>
    <t>203</t>
  </si>
  <si>
    <t>劳动能力鉴定-劳动能力鉴定事项回退</t>
  </si>
  <si>
    <t>建设劳动能力鉴定事项回退事项。包括二级审核、三级审核、事项回退、一级审核节点。节点内共设置业务校验、查询、申请信息选择或录入、经办审核功能。</t>
  </si>
  <si>
    <t>204</t>
  </si>
  <si>
    <t>劳动能力鉴定-部平台申请事项分配</t>
  </si>
  <si>
    <t>建设部平台申请事项分配事项。包括事项分配、受理节点。节点内共设置业务校验、查询、申请信息选择或录入、经办审核功能。</t>
  </si>
  <si>
    <t>205</t>
  </si>
  <si>
    <t>劳动能力鉴定-工伤初次（复查）致残程度鉴定单位申请</t>
  </si>
  <si>
    <t>建设工伤初次（复查）致残程度鉴定单位申请事项。包括办理中、申请信息录入节点。节点内共设置业务校验、查询、申请信息选择或录入、经办审核功能。</t>
  </si>
  <si>
    <t>206</t>
  </si>
  <si>
    <t>劳动能力鉴定-卫健委数据共享数据，职业伤害鉴定查询</t>
  </si>
  <si>
    <t>1、建设卫健委数据共享数据查询事项。包括卫健委数据共享数据查询节点。节点内共设置业务校验、查询、申请信息选择或录入功能。2、建设职业伤害鉴定查询事项。节点内共设置业务校验、查询、申请信息选择或录入功能。</t>
  </si>
  <si>
    <t>207</t>
  </si>
  <si>
    <t>劳动能力鉴定-因病劳动能力鉴定 单位申请</t>
  </si>
  <si>
    <t>建设因病劳动能力鉴定 单位申请事项。包括办理中、申请信息录入节点。节点内共设置业务校验、查询、申请信息选择或录入功能。</t>
  </si>
  <si>
    <t>208</t>
  </si>
  <si>
    <t>劳动能力鉴定-住院工伤康复 单位申请</t>
  </si>
  <si>
    <t>建设住院工伤康复 单位申请事项。包括办理中、申请信息录入节点。节点内共设置业务校验、查询、申请信息选择或录入功能。</t>
  </si>
  <si>
    <t>209</t>
  </si>
  <si>
    <t>劳动能力鉴定-工伤再次致残程度鉴定单位申请</t>
  </si>
  <si>
    <t>建设工伤再次致残程度鉴定单位申请事项。包括办理中、申请信息录入节点。节点内共设置业务校验、查询、申请信息选择或录入、经办审核功能。</t>
  </si>
  <si>
    <t>210</t>
  </si>
  <si>
    <t>劳动能力鉴定-劳动能力稽核事项回退</t>
  </si>
  <si>
    <t>建设劳动能力稽核事项回退事项。包括二级审核、三级审核、事项回退、一级审核节点。节点内共设置业务校验、查询、申请信息选择或录入、经办审核功能。</t>
  </si>
  <si>
    <t>211</t>
  </si>
  <si>
    <t>劳动能力鉴定-延长停工留薪期确认</t>
  </si>
  <si>
    <t>建设延长停工留薪期确认事项。包括安排面检、登记面检结果、签收、申请信息录入、打印确认意见书节点。节点内共设置业务校验、查询、申请信息选择或录入功能。</t>
  </si>
  <si>
    <t>212</t>
  </si>
  <si>
    <t>劳动能力鉴定-工伤复发确认</t>
  </si>
  <si>
    <t>建设工伤复发确认事项。包括安排面检、登记面检结果、签收、申请信息录入、打印确认意见书节点。节点内共设置业务校验、查询、申请信息选择或录入功能。</t>
  </si>
  <si>
    <t>213</t>
  </si>
  <si>
    <t>劳动能力鉴定-老工伤纳保</t>
  </si>
  <si>
    <t>建设老工伤纳保事项,共计6个节点。包括老工伤纳保初审、老工伤纳保复审、老工伤纳保信息录入、老工伤纳保预审、老工伤纳保终审节点。节点内共设置业务校验、查询、申请信息选择或录入、经办审核功能。</t>
  </si>
  <si>
    <t>214</t>
  </si>
  <si>
    <t>劳动能力鉴定-综合查询</t>
  </si>
  <si>
    <t>工伤复发确认查询、老工伤人员鉴定信息查询、职业伤害辅助器具查询，等待安排鉴定查询，人员精准信息查询，延长停工留薪期查询，因病查询修改鉴定信息，因工查询修改鉴定信息，电子票据库存信息查询 ，鉴定信息查询，康复信息查询功能，同时建设科室及工作人员维护事项，共计12个功能。节点内共设置业务校验、查询、申请信息选择或录入等功能。</t>
  </si>
  <si>
    <t>215</t>
  </si>
  <si>
    <t>劳动能力鉴定-工伤辅助器具</t>
  </si>
  <si>
    <t>建设工伤辅助器具查询事项（包括查询节点，节点内设置业务校验、查询、申请信息选择或录入功能）、工伤辅助器具配置确认事项（包括安排面检、登记面检结果、签收、申请信息录入、打印确认意见书节点，节点内设置业务校验、查询、申请信息选择或录入功能）。</t>
  </si>
  <si>
    <t>216</t>
  </si>
  <si>
    <t>劳动能力鉴定-三项确认稽核抽取</t>
  </si>
  <si>
    <t>建设三项确认稽核抽取事项。包括稽核抽取节点。节点内共设置业务校验、查询、申请信息选择或录入功能。</t>
  </si>
  <si>
    <t>217</t>
  </si>
  <si>
    <t>劳动能力鉴定-三项确认稽核录入</t>
  </si>
  <si>
    <t>建设三项确认稽核录入寄送日期事项（包括查询节点，节点内设置业务校验、查询、申请信息选择或录入功能）、三项确认稽核信息查询事项（包括查询节点，节点内设置业务校验、查询、申请信息选择或录入功能）。</t>
  </si>
  <si>
    <t>218</t>
  </si>
  <si>
    <t>劳动能力鉴定-辅助器具</t>
  </si>
  <si>
    <t>建设辅助器具安排面检（老）事项（包括查询打印节点，节点内设置业务校验、查询、申请信息选择或录入功能）、辅助器具登记面检结果（老）事项（包括查询打印节点，节点内设置业务校验、查询、申请信息选择或录入功能）、辅助器具签收（老）事项（包括查询打印节点，节点内设置业务校验、查询、申请信息选择或录入功能）、辅助器具信息查询（老）事项（包括查询打印节点，节点内设置业务校验、查询、申请信息选择或录入功能）。</t>
  </si>
  <si>
    <t>219</t>
  </si>
  <si>
    <t>劳动能力鉴定-停工留薪</t>
  </si>
  <si>
    <t>建设停工留薪安排面检（老）事项（包括查询打印节点，节点内设置业务校验、查询、申请信息选择或录入功能）、停工留薪登记面检结果（老）事项（包括查询打印节点，节点内设置业务校验、查询、申请信息选择或录入功能）、停工留薪签收（老）事项（包括查询打印节点，节点内设置业务校验、查询、申请信息选择或录入功能）、停工留薪信息查询（老）事项（包括查询打印节点，节点内设置业务校验、查询、申请信息选择或录入功能）。</t>
  </si>
  <si>
    <t>220</t>
  </si>
  <si>
    <t>劳动能力鉴定-工伤复发</t>
  </si>
  <si>
    <t>建设工伤复发安排面检（老）事项（包括查询打印节点，节点内设置业务校验、查询、申请信息选择或录入功能）、工伤复发登记面检结果（老）事项（包括查询打印节点，节点内设置业务校验、查询、申请信息选择或录入功能）、工伤复发签收（老）事项（包括查询打印节点，节点内设置业务校验、查询、申请信息选择或录入功能）、工伤复发信息查询（老）事项（包括查询打印节点，节点内设置业务校验、查询、申请信息选择或录入功能）。</t>
  </si>
  <si>
    <t>221</t>
  </si>
  <si>
    <t>劳动能力鉴定-市级劳动能力鉴定及职业伤害专项月度数据整合与分析</t>
  </si>
  <si>
    <t>属于劳动能力鉴定模块，指标枚举包含因工负伤劳动能力鉴定情况、职业伤害鉴定情况、区县信息、单位名称、申请劳动能力鉴定人数、达到伤残等级人数、伤残等级等，全面呈现劳动能力鉴定在不同区域、不同伤害类型下的申请及鉴定结果情况，为劳动能力鉴定工作的管理与分析提供综合数据支撑。</t>
  </si>
  <si>
    <t>222</t>
  </si>
  <si>
    <t>劳动能力鉴定-劳动能力鉴定及康复结算信息</t>
  </si>
  <si>
    <t>记录了劳动能力鉴定的各类情况，包括工伤（职业病、职业伤害）劳动能力再次鉴定信息，如再次鉴定的时间、结论、涉及的职业伤害类别等；因病或非因工负伤劳动能力鉴定结论信息，包含鉴定时间、鉴定结论、鉴定原因等；涵盖鉴定信息，如被鉴定人员基本信息、鉴定依据、鉴定结果等；劳鉴康复结算信息表则聚焦劳鉴后的康复结算情况，像康复费用结算金额、结算时间、康复项目及对应费用等。这些信息的整合，全面反映了劳动能力鉴定、再次鉴定以及劳鉴康复结算的综合情况，为相关部门对劳动能力鉴定工作的管理、康复费用的监管以及对鉴定结论的分析提供了详细且全面的数据依据。</t>
  </si>
  <si>
    <t>223</t>
  </si>
  <si>
    <t>参保服务-机关事业单位工作人员停止缴费（含年金）</t>
  </si>
  <si>
    <t>建设机关事业单位工作人员停止缴费事项包括申请,容缺材料补全,系统预审,审核A,审核B,审核C,人工预审,审核裁定,会审,复核,系统办理,现场验原件,一审,二审,三审,撤销共16个节点，实现机关事业单位工作人员因辞职、辞退、调动等原因需要实现停止缴纳社会保险费，可通过自助经办、人社经办大厅（RA）渠道完成操作。系统需要同时收集相关经办材料，待事项完成后发起相关归档工作。
本次建设涉及申请,补正材料,系统预审,人工预审,系统办理,一审,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申请:机关事业单位办事人员通过自助经办平台或区社保中心经办部门受理人员通过业务经办平台申请职工停止缴费。
补正材料:服务对象提交的事项申请，经过受理，并且为容缺受理时，服务对象可通过网上待办或线下完成容缺材料补全。
系统预审:系统自动对申请信息进行审核。
人工预审:区社保中心经办部门受理人员为了完成对机关事业单位工作人员停止缴费的受理，通过业务经办系统下载和校对单位提供的申请材料，并核实信息和材料是否有误后提交受理结果。
系统办理:审核通过后系统更新机关事业单位工作人员缴费状态，生成核定表，并发起材料归档。
一审:区社保中心经办部门受理人员为了完成对机关事业单位工作人员停止缴费的审核，通过业务经办系统下载和校对申请材料，并核实信息和材料是否有误后提交审核结果。
撤销：由于单位发起、业务经办人员发起等原因可以操作事项撤销。更新事项状态、回退停止缴费状态，生成撤销核定表。</t>
  </si>
  <si>
    <t>224</t>
  </si>
  <si>
    <t>参保服务-机关事业单位工作人员养老保险个人账户封存（含年金）</t>
  </si>
  <si>
    <t>建设机关事业单位工作人员养老保险个人账户封存事项包括申请,容缺材料补全,系统预审,一审,审核B,审核C,审核A,人工预审,二审,审核裁定,会审,复核,三审,现场验原件,系统办理,撤销共16个节点，实现机关事业单位工作人员因合同终止、羁押拘役审查、法院宣告失踪、下落不明或其他原因需要实现餐厅缴纳社会保险费，可通过自助经办、人社经办大厅（RA）渠道完成操作。系统需要同时收集相关经办材料，待事项完成后发起相关归档工作。
本次建设涉及申请,补正材料,一审,人工预审,复核,系统办理,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申请:机关事业单位办事人员通过自助经办平台或区社保中心经办部门受理人员通过业务经办平台申请职工暂停缴纳社会保险费。
补正材料:服务对象提交的事项申请，经过受理，并且为容缺受理时，服务对象可通过网上待办或线下完成容缺材料补全。
一审:区社保中心经办部门受理人员为了完成对机关事业单位工作人员养老保险个人账户封存的审核，通过业务经办系统下载和校对申请材料，并核实信息和材料是否有误后提交审核结果。
人工预审:区社保中心经办部门受理人员为了完成对机关事业单位工作人员养老保险个人账户封存的受理，通过业务经办系统下载和校对单位提供的申请材料，并核实信息和材料是否有误后提交受理结果。
复核:对审核修改的数据进行再次复核确认。
系统办理:审核通过后系统更新机关事业单位工作人员缴费状态，生成核定表，并发起材料归档。
撤销：由于单位发起、业务经办人员发起等原因可以操作事项撤销。更新事项状态、回退封存状态，生成撤销核定表。</t>
  </si>
  <si>
    <t>225</t>
  </si>
  <si>
    <t>参保服务-机关事业单位工作人员养老保险个人账户启封（含年金）</t>
  </si>
  <si>
    <t>建设机关事业单位工作人员养老保险个人账户启封事项包括申请,容缺材料补全,系统预审,一审,人工办理,审核C,审核A,审核B,二审,人工预审,会审,审核裁定,三审,复核,系统办理,现场验原件,撤销共17个节点，实现机关事业单位工作人员因需要恢复缴费需要实现恢复缴纳社会保险费，可通过自助经办、人社经办大厅（RA）渠道完成操作。系统需要同时收集相关经办材料，待事项完成后发起相关归档工作。
本次建设涉及申请,一审,人工预审,复核,系统办理,撤销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申请:机关事业单位办事人员通过自助经办平台或区社保中心经办部门受理人员通过业务经办平台申请职工回复缴纳社会保险费。
一审:区社保中心经办部门受理人员为了完成对机关事业单位工作人员养老保险个人账户启封的审核，通过业务经办系统下载和校对申请材料，并核实信息和材料是否有误后提交审核结果。
人工预审:区社保中心经办部门受理人员为了完成对机关事业单位工作人员养老保险个人账户启封的受理，通过业务经办系统下载和校对单位提供的申请材料，并核实信息和材料是否有误后提交受理结果。
复核:对审核修改的数据进行再次复核确认。
系统办理:审核通过后系统更新机关事业单位工作人员缴费状态，生成核定表，并发起材料归档。
撤销：由于单位发起、业务经办人员发起等原因可以操作事项撤销。更新事项状态、回退启封状态，生成撤销核定表。</t>
  </si>
  <si>
    <t>226</t>
  </si>
  <si>
    <t>参保服务-机关事业单位工作人员养老保险个人账户终止（含年金）</t>
  </si>
  <si>
    <t>建设机关事业单位工作人员养老保险个人账户终止事项包括申请,容缺材料补全,系统预审,审核A,审核B,审核C,人工预审,审核裁定,会审,复核,系统办理,现场验原件,一审,二审,三审,撤销共16个节点，实现【XX主体】因【XX原因或事由】需要实现【XXX目的】，可通过【一网通办、社区事务受理窗口、随申办APP、自助经办、人社经办大厅（RA）渠道】完成【XXXX的办理/操作，并XXXX】。系统需要同时收集相关经办材料，待事项完成后发起相关归档工作。
本次建设涉及申请,补正材料,容缺材料补全,复核,系统办理,一审,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申请:机关事业单位办事人员通过区社保中心经办部门受理人员通过业务经办平台申请单位职工的养老保险个人账户终止手续。
补正材料:服务对象提交的事项申请，经过受理，并且为容缺受理时，服务对象可通过网上待办或线下完成容缺材料补全。
容缺材料补全:服务对象提交的事项申请，经过受理，并且为容缺受理时，服务对象可通过网上待办或线下完成容缺材料补全。
复核:区社保中心经办部门审核人员复核养老保险个人账户终止的一审情况，  核实一审修改的审核信息进行再次复核确认，复核提交最终审核结果。
系统办理:审核通过后系统进行个人账户终止，生成终止相关待遇支付记录，个人参保缴费状态变更等业务处理，同时生成核定表，并发起材料归档。
一审:区社保中心经办部门受理人员为了完成养老保险个人账户终止的审核，通过业务经办系统下载和校对申请材料，并核实信息和材料是否有误后提交审核结果，进到复核节点。
撤销：由于单位发起、业务经办人员发起等原因可以操作事项撤销。更新事项状态、回退停止缴费状态，生成撤销核定表。</t>
  </si>
  <si>
    <t>227</t>
  </si>
  <si>
    <t>参保服务-机关事业单位工作人员参保登记（含年金）</t>
  </si>
  <si>
    <t>建设机关事业单位工作人员参保登记事项包括申请,容缺材料补全,系统预审,审核A,审核B,审核C,人工预审,审核裁定,会审,复核,系统办理,现场验原件,一审,二审,三审,撤销共16个节点，实现机关事业单位工作人员因个人就业登记和参保缴费，可通过一网通办、自助经办、人社经办大厅（RA）相关渠道完成参保登记办理手续。系统需要同时收集相关经办材料，待事项完成后发起相关归档工作。
本次建设涉及申请,补正材料,系统预审,人工预审,复核,系统办理,一审,撤销共计8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申请:机关事业单位办事人员通过自助经办平台或区社保中心经办部门受理人员通过业务经办平台申请机关事业单位工作人员参保登记。
补正材料:服务对象提交的事项申请，经过受理，并且为容缺受理时，服务对象可通过网上待办或线下完成容缺材料补全。
系统预审:系统自动对申请信息进行审核。
人工预审:区社保中心经办部门受理人员为了完成对机关事业单位工作人员参保登记的受理，通过业务经办系统下载和校对单位提供的申请材料，并核实信息和材料是否有误后提交受理结果。
复核:
系统办理:审核通过后系统更新机关事业单位工作人员缴费状态，生成核定表，并发起材料归档。
一审:区社保中心经办部门受理人员为了完成对机关事业单位工作人员参保登记的审核，通过业务经办系统下载和校对申请材料，并核实信息和材料是否有误后提交审核结果。
撤销：由于单位发起、业务经办人员发起等原因可以操作事项撤销。更新事项状态、回退停止缴费状态，生成撤销核定表。</t>
  </si>
  <si>
    <t>228</t>
  </si>
  <si>
    <t>参保服务-机关事业单位基本养老保险关系跨省转入（含年金）</t>
  </si>
  <si>
    <t>建设机关事业单位基本养老保险关系跨省转入事项包括业务申请,业务受理,受理待转,转入复核,转入审核,信息表录入,重复帐户确认,账户处理,转移接续风控处理,撤销共10个节点，实现机关事业人员因工作地变更需要实现缴费信息转移，可通过人社经办大厅（RA），部转移平台（定时任务下载）完成操作。系统需要同时收集相关经办材料，待事项完成后发起相关归档工作。
本次建设涉及业务申请,业务受理,受理待转,转入复核,转入审核,信息表录入,重复帐户确认,账户处理,转移接续风控处理,撤销重复帐户确认共计10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业务申请:需转移人员通过社经办大厅（RA），部转移平台（定时任务下载）进行申请转移。
业务受理:对申请或下载到需转移的申请进行确认，定时任务下载需向转移平台上传联系函。
受理待转:对已接入部转移平台的对应区县转移进行联系函反馈后待转出方上传信息表至部转移平台后续下载。
转入复核:对未接入部转移平台的区县进行转入时，对审核修正信息表数据进行复核确认。
转入审核:已接入部转移平台区县在下载到信息表后对信息表进行审核，对未接入转移平台的信息表进行确认或修正调整。
信息表录入:对未接入部平台区县转移申请进行线下录入信息表的操作。
重复帐户确认:对转入的缴费年月与本地缴费信息进行对比，重复的月份需转移人员确认退费地区是上海缴费还是转入的缴费信息。
账户处理:对已处理完金额已经收到的转移月份进行记账的处理。
转移接续风控处理:部中台数据上传时人员概率触发风控规则，需风控确认后进行数据落地处理。
撤销重复帐户确认：对转入人员已确认的重复账户，转出地联系信息表异常需重新获取信息表的进行节点撤销处理。</t>
  </si>
  <si>
    <t>229</t>
  </si>
  <si>
    <t>参保服务-机关事业单位中人账户处理（含年金）</t>
  </si>
  <si>
    <t>建设机关事业单位中人账户处理事项包括申请,容缺材料补全,系统预审,审核A,审核B,审核C,人工预审,审核裁定,会审,复核,系统办理,现场验原件,一审,二审,三审,撤销共16个节点，实现机关单位中人因退休或是个人原因需要实现改革前月份切做视作缴费，可通过人社经办大厅（RA）渠道完成中人切换操作。系统需要同时收集相关经办材料，待事项完成后发起相关归档工作。
本次建设涉及申请,补正材料,系统办理,一审,二审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申请:机关事业单位办事人员通过区社保中心经办部门受理人员通过业务经办平台申请单位职工中人账户处理。
补正材料:服务对象提交的事项申请，经过受理，并且为容缺受理时，服务对象可通过网上待办或线下完成容缺材料补全。
系统办理:审核通过后系统进行个人账户调整，将改革前缴费切做视作缴费月数，计算年金本息，生成年金支付记录，个人账户变更等业务处理，同时生成核定表，并发起材料归档。
一审:区社保中心经办部门受理人员为了完成养老保险个人账户终止的审核，通过业务经办系统下载和校对申请材料，并核实信息和材料是否有误后提交审核结果，进到复核节点。
二审：区社保中心经办部门审核人员复核中人账户的一审情况，核实一审修改的审核信息进行二次审核确认，二审提交最终审核结果。</t>
  </si>
  <si>
    <t>230</t>
  </si>
  <si>
    <t>参保服务-机关事业工作人员基本养老保险关系跨省转出（含年金）</t>
  </si>
  <si>
    <t>建设机关事业工作人员基本养老保险关系跨省转出事项包括业务申请,业务受理,转出审核,转出复核,信息表撤销确认,受理待转,转出确认,转移接续风控处理,撤销共9个节点，实现机关事业人员因工作原因需要实现缴费信息转出，可通过人社经办大厅（RA），部转移平台（定时任务下载）渠道完成机关事业转出的申请。系统需要同时收集相关经办材料，待事项完成后发起相关归档工作。
本次建设涉及业务申请,转出审核,转出复核,信息表撤销确认,受理待转,转出确认,转移接续风控处理,撤销转出复核,撤销转出审核共计9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业务申请:需转出人员到经办大厅进行业务申请，转出人员也可在部转移平台进行申请或转入方上传转移平台联系函信息。
转出审核:对获取到联系函信息或者线下申请人员进行转出的信息表进行录入。
转出复核:对转出审核操作的信息表进行复核确认处理，对已接入部转移平台的区县进行信息表上传处理。
信息表撤销确认:对已上传部转移平台的信息表发现信息表有误时进行撤销申请。
受理待转:对已接入部转移平台的区县，转出时信息表已上传，待转入方确认接收信息表后上传信息表确认接收后定时任务进行事项流转处理
转出确认:对已确认信息表无误，转入方已确认待接收的进行生成财务信息待金额支付及本人本地在职账户信息处理。
转移接续风控处理:部中台对本人在职账户处理中可能触发风控，需风控确认通过后进行数据落地。
撤销转出复核:对转出信息表已复核通过的数据进行撤销。
撤销转出审核：对转出已信息表录入的数据进行撤销。</t>
  </si>
  <si>
    <t>231</t>
  </si>
  <si>
    <t>参保服务-“总对总”军人退役基本养老保险(职业年金)转移接续</t>
  </si>
  <si>
    <t>建设“总对总”军人退役基本养老保险(职业年金)转移接续事项包括业务申请,业务审核,到账处理（资金确认）,撤销共4个节点，实现军人因调动需要实现缴费信息转入，可通过人社经办大厅（RA）渠道完成转入的处理。系统需要同时收集相关经办材料，待事项完成后发起相关归档工作。
本次建设涉及业务申请,业务审核,到账处理（资金确认）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业务申请:满足需求的转入人员进行线下申请转入，信息表进行录入。
业务审核:对转入人员的信息表进行确认处理。
到账处理（资金确认）：对审核无误的转入缴费到账后进行本地缴费记账处理。</t>
  </si>
  <si>
    <t>232</t>
  </si>
  <si>
    <t>参保服务-机关事业单位工作人员在职终止转在职</t>
  </si>
  <si>
    <t>建设在职终止转在职事项包括申请,容缺材料补全,系统预审,审核A,审核B,审核C,人工预审,审核裁定,会审,复核,系统办理,现场验原件,一审,二审,三审,撤销共16个节点，实现职保缴费人员因个人账户终止后续后需要重新参保的需要，实现重新转在职，可通过 人社经办大厅（RA）渠道完成个人在职终止转在职的业务操作，并同时进行个人账户恢复，对个人账户终止时待遇发放的追回，产生应退还记录。系统需要同时收集相关经办材料，待事项完成后发起相关归档工作。
本次建设涉及申请,审核A,审核B,审核裁定,系统办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申请:单位职工或是个人办理过个人账户终止手续的人员通过自助经办平台或区社保中心经办部门受理人员通过业务经办平台申请职工暂停缴纳社会保险费。
审核A:区社保中心经办部门受理人员为了完成对个人账户恢复的审核，通过业务经办系统下载和校对申请材料，并核实信息和材料是否有误后提交审核结果。
审核B:区社保中心经办部门受理人员为了完成对个人账户恢复的审核，通过业务经办系统下载和校对申请材料，并核实信息和材料是否有误后提交审核结果。
审核裁定:对审核A和审核B，审核的记录进行再次复核确认。
系统办理：审核通过后系统恢复个人在职账户状态，生成核定表，并发起材料归档。</t>
  </si>
  <si>
    <t>233</t>
  </si>
  <si>
    <t>参保服务-参保人员（单位职工）补缴调整类相关变更适配调整</t>
  </si>
  <si>
    <t>本次还需要对参保人员（单位职工）登记信息调整，参保人员（单位职工）缴费基数调整，参保人员（单位职工）社会保险费补缴，参保人员（单位职工）社会保险费补缴（2023年11月及以前），参保人员（单位职工）社会保险特殊补缴，参保人员（单位职工）社会保险特殊补缴（2022-9号文），社会保险费特殊退账等事项进行适配改造，以保障全险种业务“大管控”实施后原企业职工保险相关补缴类服务正常办理</t>
  </si>
  <si>
    <t>234</t>
  </si>
  <si>
    <t>参保服务-特殊类变更适配改造</t>
  </si>
  <si>
    <t>本次还需要对历史实收明细补转储，社保费重复收缴退费（税务），社保重复账户合并，税务缴费基数调整台账，养老保险个人账户信息调整，养老账户补结息，原异地转入拆分处理，征地人员城镇社会保险费一次性预缴，转移接续重复缴费退账等事项进行适配改造，以保障全险种业务“大管控”实施后原企业职工保险相关特殊变更服务正常办理</t>
  </si>
  <si>
    <t>235</t>
  </si>
  <si>
    <t>参保服务-查询凭证类事项适配改造</t>
  </si>
  <si>
    <t>本次还需要对变更汇总表打印，参保户参保信息查询，参保人员城镇职工基本养老保险缴费情况，查询参保户人员状态变更汇总，城镇职工基本养老保险参保情况，单位人员信息查询，个人账户信息查询，企业参保信息查询，提供参保户参保资料，提供个人参保资料等事项进行适配改造，以保障全险种业务“大管控”实施后原企业职工保险相关查询服务正常办理</t>
  </si>
  <si>
    <t>236</t>
  </si>
  <si>
    <t>参保服务-企业年金方案备案情况分类统计​</t>
  </si>
  <si>
    <t>指标枚举包含法人受托机构、单位类型、行业类别、单位性质、地区分布等基础分类信息；涉及申请、受理、备案通过、备案不通过等备案工作流程数据；还涵盖当月及累计的新建、变更备案数，参加单位户数、参加人数、初始基金规模、单位规模、办结时间等量化指标 。该表全面呈现企业年金方案备案在机构、单位、行业、地区等多维度的分布特征，以及备案工作进展和规模数据，为监管企业年金市场发展、优化备案流程、评估受托机构服务效能提供系统性数据支撑。</t>
  </si>
  <si>
    <t>237</t>
  </si>
  <si>
    <t>参保服务-企业特殊工时制度实施情况统计​</t>
  </si>
  <si>
    <t>指标枚举包含区县信息；时间维度区分上月、当月及上期末；流程状态涵盖下载失败、补正、不予受理、已受理、未通过、已通过、审核中、撤销变更等；量化数据涉及已审批企业户数、在职职工总人数、特殊工时岗位职工人数、办结时间等 。该表全面呈现特殊工时制度审批流程各环节进展、不同地区管理情况，以及特殊工时制度覆盖企业与职工规模，为监管特殊工时制度执行、优化审批流程、制定劳动用工政策提供多维度数据支撑。</t>
  </si>
  <si>
    <t>238</t>
  </si>
  <si>
    <t>参保服务-本市户籍人员社保扩面及贫困人员参保情况统计</t>
  </si>
  <si>
    <t>在覆盖范围上，通过本市户籍人员落实社会养老保障扩覆情况统计表，展现 16 周岁以上本市户籍人数、在校生人数等数据，明晰保障覆盖基础；在特殊群体保障方面，贫困人员参加社会保险、民政贫困人员参加基本养老保险覆盖率等表格，记录贫困人员参保人数、外地参保领待等情况，体现对困难群体的保障力度；在账户管理层面，本市户籍无账户人员入户调查情况统计表，统计无账户人数、入户调查进度等，反映账户管理工作推进状况；同时，还有关于特定年龄段无账户明细及城乡居民养老保险补助资金使用情况的记录，为精准施策提供数据支撑。这些数据全面反映本市户籍人员社会保障工作的开展情况，助力相关部门优化政策、提升服务。</t>
  </si>
  <si>
    <t>239</t>
  </si>
  <si>
    <t>参保服务-在职职工参保情况统计</t>
  </si>
  <si>
    <t>在人员结构上，以年龄、性别为基础，结合单位性质参保、个人身份参保，以及户籍性质等因素，详细呈现年末在职职工参保人数、在职缴费人员、在职参保封存人员的年龄结构分布，能直观展现不同群体在职职工的构成特点。在账户与缴费相关指标方面，涵盖人均个人账户余额、人均缴费年限（视同 + 实际）、视同年限、人均月缴费基数、全程平均缴费工资指数等数据，从统计报表口径和全口径两个角度，反映在职职工个人账户资金积累、缴费时长、缴费基数与工资指数等情况，为分析在职职工社保权益、缴费合理性以及未来养老金待遇水平提供了丰富的数据支撑。这些数据整合后，助力社保中心深入了解在职职工参保全貌，为政策制定、资源调配和精准服务提供有力依据 。</t>
  </si>
  <si>
    <t>240</t>
  </si>
  <si>
    <t>参保服务-特殊人员社保信息明细统计</t>
  </si>
  <si>
    <t>从基础信息层面，涵盖户籍区县、乡镇，管理区县、乡镇，个人标识、姓名、性别、出生年月等，精准定位人员身份与地域归属；联系方式上，包含联系地址、电话、邮编，便于沟通联络。在社保业务关键数据方面，通过个人属性、账户状态、参保户登记码及名称，直观呈现人员参保状态；“无公安信息” 字段标注信息缺失人员，助力完善数据准确性；“未缴费”“未满 40 岁无账户”“未参保” 等内容，分类呈现不同类型异常参保情况，为推进参保扩面、费用追缴提供线索；“死亡” 及 “死亡日期” 记录特殊人员状态，保障社保业务处理的及时性与合规性。这些数据相互交织，为社保中心高效开展数据治理、精准实施业务管控、优化服务流程提供全景式数据支撑 。</t>
  </si>
  <si>
    <t>241</t>
  </si>
  <si>
    <t>参保服务-社保人员动态及新开户单位情况统计</t>
  </si>
  <si>
    <t>从参保人员维度来看，既包含 “城镇职工基本养老保险参保人数”“期末外地户口参保职工人数”“期末灵活就业参保人数” 等反映参保规模的数据，又有 “当月新进”“当月中断缴费”“当月恢复缴费” 等体现人员流动动态的指标；在单位层面，“单位类型”“新开户单位” 数据展示了单位参保的变化情况；“分类”“隶属关系” 则进一步细化参保人员与单位的属性类别；“在职人员”“离退休人员”“在职、退休死亡人数” 等数据记录了不同状态人员数量。这些数据相互补充，能够帮助社保中心全面掌握参保人员的结构、流动及单位参保动态，为精准规划社保基金收支、优化参保服务、制定政策提供详实的数据支持。</t>
  </si>
  <si>
    <t>242</t>
  </si>
  <si>
    <t>养老服务-单位养老人员养老金卡（折）调整</t>
  </si>
  <si>
    <t>建设养老人员（其他人员）养老金卡（折）调整事项包括申请,容缺材料补全,系统预审,一审,审核B,审核C,审核A,人工预审,人工办理,审核裁定,会审,二审,复核,三审,系统办理,现场验原件,撤销共17个节点，实现享受本市城镇养老待遇的单位养老人员，因遗失、折损等原因，可通过自助经办、人社经办大厅（RA）渠道完成单位申请办理老金卡(折)变更。系统需要同时收集相关经办材料，待事项完成后发起相关归档工作。
本次建设涉及申请,系统预审,系统办理,撤销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申请:区社保中心经办部门受理人员为了完成服务对象对养老金卡（折）变更申请的受理，校核服务对象提供的材料，通过业务经办系统上传办事材料并录入业务信息，同时给出受理结果
系统预审:部分申请不需要进行人工预审，由系统自动预审，生成受理回执。
系统办理:系统审核通过后系统更新养老人员基本养老金发放银行及账号，更新养老人员事业补贴卡发放银行及账号，更新年金卡发放银行及账号，发起材料归档。
撤销：由于风控、单位发起、业务经办人员发起等原因可以操作事项撤销。回退养老人员基本养老金发放银行及账号，回退养老人员事业补贴卡发放银行及账号，回退年金卡发放银行及账号、生成撤销核定表。</t>
  </si>
  <si>
    <t>243</t>
  </si>
  <si>
    <t>养老服务-机关事业单位退休人员养老待遇启封</t>
  </si>
  <si>
    <t>建设机关事业单位退休人员养老待遇启封事项包括申请,容缺材料补全,系统预审,一审,审核B,审核C,审核A,人工预审,会审,审核裁定,复核,现场验原件,系统办理,人工办理,二审,三审,撤销共17个节点，实现享受本市城镇养老待遇的机关事业人员之前因下落不明或被判刑、羁押等原因导致封存可通过自助经办、人社经办大厅（RA）渠道完成需恢复正常享受养老待遇，其管理单位申请办理养老待遇恢复。系统需要同时收集相关经办材料，待事项完成后发起相关归档工作。
本次建设涉及申请,补正材料,一审,审核B,审核A,人工预审,审核裁定,系统办理,二审,撤销共计10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申请:单位办事人员通过自助经办系统办理单位内养老人员封存后的养老待遇恢复业务。
补正材料:服务对象提交的事项申请，经过受理，并且为容缺受理时，服务对象可通过网上待办或线下完成容缺材料补全。
一审:区社保中心审核人员，对于申请数据进行审核，调整待遇人员的启封日期，对于有补发的人员，审核补发待遇相关明细。对材料及申请信息进行审核确认校验。
审核B:区社保中心审核人员，对于申请数据进行审核，调整待遇人员的启封日期，对于有补发的人员，审核补发待遇相关明细。对材料及申请信息进行审核确认校验。
审核A:区社保中心审核人员，对于申请数据进行审核，调整待遇人员的启封日期，对于有补发的人员，审核补发待遇相关明细。对材料及申请信息进行审核确认校验。
人工预审:对于自主经办申请的部分申请原因，需通过审核人员人工审核，校验材料，并生成受理情况回执。
审核裁定:对于审核A及审核B结果不一致情况由审核裁定权限人员进行重新审核，确认正确的审核结果。
系统办理:审核通过的信息，对待遇人员的待遇发放状态恢复正常状态，有待遇补发的生成一次性补发信息，生成应退还资金台账及核定表。
二审:一审修改的数据重新审核校验。
撤销：撤销待遇人员的状态至封存，撤回补发信息，应退还信息，核定表。、</t>
  </si>
  <si>
    <t>244</t>
  </si>
  <si>
    <t>养老服务-机关事业单位退休人员养老待遇封存</t>
  </si>
  <si>
    <t>建设机关事业单位退休人员养老待遇封存事项包括申请,容缺材料补全,系统预审,一审,审核B,审核C,审核A,人工预审,会审,审核裁定,复核,现场验原件,系统办理,人工办理,二审,三审，撤销共17个节点，实现享受本市城镇养老待遇的机关事业人员因下落不明、被羁押、判刑等原因导致需要暂时停止享受养老待遇，可通过自助经办、线下窗口申请办理养老待遇暂停。业务办理完成后需同时暂停职业年金待遇，若晚办理封存还需生成应退还资金台账，对接财务收回多支付的养老待遇。系统需要同时收集相关经办材料，待事项完成后发起相关归档工作。
本次建设涉及申请,一审,系统办理,人工预审,撤销,补正材料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申请：单位办事人员通过自助经办系统办理单位内养老人员的养老待遇暂停业务。
人工预审：区社保中心经办部门受理人员为了完成对养老待遇暂停申请的受理，通过业务经办系统下载和校对单位提供的申请材料，并核实信息和材料是否有误后提交受理结果。
一审：区社保中心经办部门审核人员为了完成对养老待遇暂停申请的审核，通过业务经办系统下载和校对申请材料，并核实信息和材料是否有误后提交审核结果。
补正材料节点：服务对象提交的事项申请，经过受理，并且为容缺受理时，服务对象可通过网上待办或线下完成容缺材料补全。
系统办理：审核通过后系统更新养老待遇人员状态，更新年金发放状态，生成应退还资金台账及核定表，发起材料归档。
撤销：由于风控、单位发起、业务经办人员发起等原因可以操作事项撤销。更新事项状态、回退养老待遇人员、回退职业年金发放状态、撤销应退还资金台账、生成撤销核定表。</t>
  </si>
  <si>
    <t>245</t>
  </si>
  <si>
    <t>养老服务-机关事业单位退休人员养老待遇终止</t>
  </si>
  <si>
    <t>建设机关事业单位退休人员养老待遇终止事项包括申请,容缺材料补全,系统预审,一审,人工办理,审核C,审核A,审核B,二审,人工预审,会审,审核裁定,三审,复核,系统办理,现场验原件,撤销共17个节点，实现机关事业退休人员因死亡或其他原因需要实现停止发放养老待遇，可通过人社经办大厅（RA）渠道完成申请养老待遇终止的办理/操作，并核算补发退还及一次性待遇信息。系统需要同时收集相关经办材料，待事项完成后发起相关归档工作。
本次建设涉及申请,补正材料,容缺材料补全,一审,复核,系统办理,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申请:需终止人员可通过前往人社大厅进行终止申请。
补正材料:对已上传的材料进行补正处理。
容缺材料补全:对已上传缺失的材料申请人员上传缺失材料处理。
一审:对申请人申请的终止进行初次审核，并核定根据终止年月计算出的补发退还金额及一次性待遇金额是否正确。
复核:对满足特殊条件的人员需进行复核处理，对一审提交数据进行确认审核。
系统办理:对审核通过需正常落地数据进行中台数据上传生成补发退还信息，财务支付信息。
撤销：对已办结或未办结发现数据或材料异常进行撤销处理。</t>
  </si>
  <si>
    <t>246</t>
  </si>
  <si>
    <t>养老服务-机关事业（参公）单位工作人员申领养老金</t>
  </si>
  <si>
    <t>建设机关事业（参公）单位工作人员申领养老金事项包括申请,容缺材料补全,系统预审,审核A,审核B,审核C,人工预审,审核裁定,会审,复核,系统办理,现场验原件,一审,二审,三审,撤销共16个节点，实现机关事业从业人员因为到龄正常退休或者各种原因导致提前退休，可通过人社经办大厅（RA）渠道完成养老金申领。系统需要同时收集相关经办材料，待事项完成后发起相关归档工作。
本次建设涉及申请,补正材料,容缺材料补全,审核A,审核B,人工预审,审核裁定,会审,复核,系统办理,一审,二审,三审,撤销共计14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申请:区社保中心经办部门受理人员为了完成服务对象对机关事业养老待遇申请的受理，校核服务对象提供的材料，通过业务经办系统上传办事材料并录入业务信息，同时给出受理结果。
补正材料:服务对象提交的事项申请，经过受理审核，确定提交的材料有误时需要补正材料，服务对象可通过网上待办或线下完成补正材料。
容缺材料补全:服务对象提交的事项申请，经过受理，并且为容缺受理时，服务对象可通过网上待办或线下完成容缺材料补全。
审核A:社保中心经办部门审核人员为了完成对机关事业养老待遇申请的审核，通过业务经办系统下载和校对申请材料，并核实信息和材料是否有误后提交审核结果。
审核B:社保中心经办部门审核人员为了完成对机关事业养老待遇申请的审核，通过业务经办系统下载和校对申请材料，并核实信息和材料是否有误后提交审核结果。
人工预审:区社保中心经办部门受理人员为了完成对机关事业养老待遇申请的受理，通过业务经办系统下载和校对单位提供的申请材料，并核实信息和材料是否有误后提交受理结果。
审核裁定:
会审:区社保中心经办部门审核人员在审核过程中对审核结果有异议，人工申请进行分中心会审或市中心会审。
复核:区社保中心经办部门审核人员（非一审操作人员），对申报信息和审核信息不一致的或该事项有复核规则，进行复核并提交复核结果。
系统办理:审核通过后系统生成待遇基本信息、发放信息、年金基本信息、年金发放信息、机关事业基本信息、变更信息、补发信息及核定表，发起材料归档。
一审:社保中心经办部门审核人员为了完成对机关事业养老待遇申请的审核，通过业务经办系统下载和校对申请材料，并核实信息和材料是否有误后提交审核结果。
二审:社保中心经办部门审核人员为了完成对机关事业养老待遇申请的审核，通过业务经办系统下载和校对申请材料，并核实信息和材料是否有误，确认一审结果是否有误，提交审核结果。
三审:社保中心经办部门审核人员为了完成对机关事业养老待遇申请的审核，通过业务经办系统下载和校对申请材料，并核实信息和材料是否有误，确认一审结果是否有误，提交审核结果。
撤销：由于风控、单位发起、业务经办人员发起等原因可以操作事项撤销。更新事项状态、回退养老待遇人员、回退职业年金发放状态、撤销应退还资金台账、生成撤销核定表。</t>
  </si>
  <si>
    <t>247</t>
  </si>
  <si>
    <t>养老服务-支付不成功台账管理（职保）</t>
  </si>
  <si>
    <t>建设支付不成功台账管理（职保）事项包括受理,一审,二审,系统审核,三审,撤销共6个节点，实现待遇类支付信息支付因支付失败原因需要实现待遇发放信息重新核定发放目的，可通过人社经办大厅（RA）渠道完成支付不成功重新支付操作。系统需要同时收集相关经办材料，待事项完成后发起相关归档工作。
本次建设涉及受理,一审,二审,系统审核,三审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受理:对于待遇相关支付流程支付失败的数据，选择重新支付，可在页面修改发放信息，或领取人信息，对于无需审核的事项流程生成核定表，并归档。
一审:明细中申领人类型为单位/机构且明细中单位社保码和欠付库一致，并单位名称与户名一致，此类数据需审核人员一审审核。
二审:明细中申领人类型为个人明细中证件号码为非本人需审核人原审核证件信息，及相关证明材料。
系统审核:
三审：明细中证件号码为非本人，审核人员审核人员相关信息，及个人申请时提供的证明从爱聊。</t>
  </si>
  <si>
    <t>248</t>
  </si>
  <si>
    <t>养老服务-养老终止转养老</t>
  </si>
  <si>
    <t>建设养老终止转养老事项包括申请,容缺材料补全,系统预审,一审,人工办理,审核C,审核A,审核B,二审,人工预审,会审,审核裁定,三审,复核,系统办理,现场验原件,撤销共17个节点，实现已办理养老待遇终止因需要重新核算需要实现终止状态变为养老状态的处理，可通过人社经办大厅（RA）渠道完成养老终止转养老的办理/操作。系统需要同时收集相关经办材料，待事项完成后发起相关归档工作。
本次建设涉及申请,审核A,审核B,审核裁定,系统办理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申请:对需要操作养老终止转养老的人员进行申请，上传材料操作。
审核A:对申请的人员进行审核，核查补发退还信息是否正确。
审核B:对申请的人员进行审核，核查补发退还信息是否正确。
审核裁定:对审核A与审核B审核结果不一致的人员进行审核裁定，确认具体办理信息。
系统办理：对已审核通过人员进行中台数据上传，生成补发退还明细，生成财务补发退还信息。</t>
  </si>
  <si>
    <t>249</t>
  </si>
  <si>
    <t>养老服务-养老转在职</t>
  </si>
  <si>
    <t>建设养老转在职事项包括申请,容缺材料补全,系统预审,一审,人工办理,审核C,审核A,审核B,二审,人工预审,会审,审核裁定,三审,复核,系统办理,现场验原件,撤销共17个节点，实现已退休人员因需政策或个人原因需要实现养老待遇重算，可通过人社经办大厅（RA）渠道完成养老转在职的办理/操作。系统需要同时收集相关经办材料，待事项完成后发起相关归档工作。
本次建设涉及申请,补正材料,审核A,审核B,审核裁定,系统办理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申请:需待遇重算人员通过人社大厅申请养老转在职处理。
补正材料:对已上传的材料进行补正处理。
审核A:对已申请的人员进行审核并核对退还金额是否正确。
审核B:对已申请的人员进行审核并核对退还金额是否正确。
审核裁定:对审核A和审核B审核结果不一致人员进行裁定，判断最终处理数据。
系统办理：对审核完成人员进行中台数据上传，生成退还信息，并生成财务应退还基本信息。</t>
  </si>
  <si>
    <t>250</t>
  </si>
  <si>
    <t>养老服务-验证情况查询</t>
  </si>
  <si>
    <t>建设验证情况查询事项包括四类人市级查询共1个节点，实现业务经办人员查询历年四类人员固化、发信、比对、回信、批处理的数据，可通过人社经办大厅（RA）渠道进行查询操作并导出。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四类人市级查询：区社保中心经办部门人员通过录入查询条件（年度、区县、比对期次、处理节点、个人标识、是否发信、证件号码、姓名、一次比对结果、一次比对处理结果、二次比对处理结果、待遇类别、发放状态、批处理标志、收入验证情况）查询四类人员情况，选中个人可查询单人年度明细情况（收入验证台账）。可导出查询数据</t>
  </si>
  <si>
    <t>251</t>
  </si>
  <si>
    <t>养老服务-养老人员待遇调整</t>
  </si>
  <si>
    <t>建设养老人员待遇调整事项包括申请,容缺材料补全,系统预审,审核A,审核B,审核C,人工预审,审核裁定,会审,复核,系统办理,现场验原件,一审,二审,三审,撤销共16个节点，实现享受城保养老待遇人员因养老待遇组成项目不正确等原因需要实现养老待遇项目调整，可通过人社经办大厅（RA）渠道完成养老待遇组成项目调整并同时生成补退信息。系统需要同时收集相关经办材料，待事项完成后发起相关归档工作。
本次建设涉及申请,补正材料,审核A,审核B,审核裁定,系统办理,撤销共计7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申请:享受养老待遇人员因各种原因需调整养老待遇组成项目，在RA平台上传申请材料发起申请
补正材料:申请人员需补正审核人员选择的不符合条件的材料，不可修改申请数据，提交完成后重新推送至原审核人员
审核A:并行审核，审核人员对申请数据做出核定，需根据申请数据和上传材料操作养老金组成项目的增加、删除、修改，并根据情况增加补退信息
审核B:并行审核，审核人员对申请数据做出核定，需根据申请数据和上传材料操作养老金组成项目的增加、删除、修改，并根据情况增加补退信息
审核裁定:并行审核结论不一致，或提交数据不一致时，由裁定人员选择并行审核某一条作为审核结论
系统办理:审核最终通过后，根据提交的数据，增加人员定期待遇项目明细、定期待遇本地项目明细、人员待遇补发扣发项目明细、应退还资金台账，材料归档
撤销：由于风控、业务经办人员发起等原因可以操作事项撤销。更新事项状态、回退养老待遇人员项目明细、撤销应退还资金台账、生成撤销核定表。</t>
  </si>
  <si>
    <t>252</t>
  </si>
  <si>
    <t>养老服务-养老保险账户终止待遇申领</t>
  </si>
  <si>
    <t>建设养老保险账户终止待遇申领事项包括申请,容缺材料补全,系统预审,一审,人工办理,审核C,审核A,审核B,二审,人工预审,会审,审核裁定,三审,复核,系统办理,现场验原件,撤销共17个节点，实现已养老待遇终止人员因一次性待遇需要重算或发放需要实现一次性待遇的补发退还处理，可通过人社经办大厅（RA）渠道完成养老保险账户终止待遇申领。系统需要同时收集相关经办材料，待事项完成后发起相关归档工作。
本次建设涉及申请,补正材料,一审,系统办理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申请:对需要重算或需要发放一次性待遇的终止人员进行重算发放。
补正材料:对上传的材料进行补正处理。
一审:对已申请的人员进行审核并核查一次性待遇的补发退还是否正确。
系统办理：对已审核通过数据进行中台数据上传，生成补发退还明细信息，生成财务补发退还支付信息。</t>
  </si>
  <si>
    <t>253</t>
  </si>
  <si>
    <t>养老服务-养老终止人员待遇补发（退还）</t>
  </si>
  <si>
    <t>建设养老终止人员待遇补发（退还）事项包括申请,容缺材料补全,系统预审,一审,人工办理,审核C,审核A,审核B,二审,人工预审,会审,审核裁定,三审,复核,系统办理,现场验原件,撤销共17个节点，实现养老待遇终止人员因按月待遇异常需要实现补发退还，可通过人社经办大厅（RA）渠道完成养老终止人员待遇补发（退还）。系统需要同时收集相关经办材料，待事项完成后发起相关归档工作。
本次建设涉及申请,补正材料,一审,二审,系统办理,撤销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申请:对需要补发退还按月待遇，需要发放一次计划生育奖励费人员进行申请。
补正材料:对已上传材料进行补正处理。
一审:对申请数据进行核对并按照规则录入补发退还开始截止月份，补发退还项目，系统自动根据中台记录待遇项目金额生成补发退还合计。
二审:对一审录入的月份，项目，系统计算出金额进行核查。
系统办理:对审核通过数据进行中台数据上传，生成按月补发退还明细，生成财务补发退还基本信息。
撤销</t>
  </si>
  <si>
    <t>254</t>
  </si>
  <si>
    <t>养老服务-机关事业养老人员核定信息调整</t>
  </si>
  <si>
    <t>建设机关事业养老人员核定信息调整事项包括申请,容缺材料补全,系统预审,审核A,审核B,审核C,人工预审,审核裁定,会审,复核,系统办理,现场验原件,一审,二审,三审,撤销共16个节点，实现享受城保养老待遇人员因退休后补缴、重新认定工龄、社平工资调整等原因需要实现对养老待遇的重新核定，可通过人社经办大厅（RA）渠道完成对养老待遇的重新核定，并和核定前待遇进行比较，生成补发或扣发。系统需要同时收集相关经办材料，待事项完成后发起相关归档工作。
本次建设涉及申请,审核A,审核B,审核裁定,系统办理,一审,二审,撤销共计8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申请:享受养老待遇人员因退休后补缴、重新认定工龄、社平工资调整等原因需要实现对养老待遇的重新核定，通过人社经办大厅（RA）渠道发起申请
审核A:并行审核，审核人员对申请数据和材料进行核定，重新获取退休申请时账户存储额、全部工资年限等，检查数据是否正确，可手动修改，重新计算养老金，程序根据调整前和调整后计算补退信息，核定数据后提交审核结论
审核B:并行审核，审核人员对申请数据和材料进行核定，重新获取退休申请时账户存储额、全部工资年限等，检查数据是否正确，可手动修改，重新计算养老金，程序根据调整前和调整后计算补退信息，核定数据后提交审核结论
审核裁定:并行审核结论不一致，或提交数据不一致时，由裁定人员选择并行审核某一条作为审核结论
系统办理:审核最终通过后，根据提交的数据，增加人员定期待遇项目明细、定期待遇本地项目明细、人员待遇补发扣发项目明细、应退还资金台账，材料归档
一审:由养老待遇批量清算生成的批量审核业务，程序自动重新核定养老金和补退信息
二审:由养老待遇批量清算生成的批量二级审核业务，在养老待遇批量清算的“清算结果批量确认”节点批量审核通过
撤销：由于风控、业务经办人员发起等原因可以操作事项撤销。更新事项状态、回退养老待遇人员项目明细、撤销应退还资金台账、生成撤销核定表。</t>
  </si>
  <si>
    <t>255</t>
  </si>
  <si>
    <t>养老服务-机关事业（参公）单位工作人员申领养老金（改革前）</t>
  </si>
  <si>
    <t>建设机关事业（参公）单位工作人员申领养老金（改革前）事项包括申请,容缺材料补全,系统预审,审核A,审核B,审核C,人工预审,审核裁定,会审,复核,系统办理,现场验原件,一审,二审,三审,撤销共16个节点，实现机关事业单位参保人员因申领养老金需要实现办理2014年10月之前的养老金核定，可通过人社经办大厅（RA）渠道完成用于2014年10月之前按事业单位办法办理养老金核定的人员的受理。系统需要同时收集相关经办材料，待事项完成后发起相关归档工作。
本次建设涉及申请,系统办理,一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申请:用于2014年10月之前按事业单位办法办理养老金核定的人员进行受理
系统办理:审核最终通过后，根据提交的数据，增加享受待遇基本信息、离退休人员信息、人员定期待遇项目明细、定期待遇本地项目明细、人员待遇补发扣发项目明细，材料归档
一审：审核人员对申请数据做出核定，需根据申请数据和上传材料操作养老金组成项目的增加、删除、修改，并根据情况增加补退信息</t>
  </si>
  <si>
    <t>256</t>
  </si>
  <si>
    <t>养老服务-离休干部护理费申领</t>
  </si>
  <si>
    <t>建设离休干部护理费申领事项包括申请,容缺材料补全,系统预审,一审,审核B,审核C,审核A,人工预审,二审,审核裁定,会审,复核,三审,现场验原件,系统办理,撤销共16个节点，实现享受本市养老待遇的离休干部因申请护理费事由需要实现待遇项目增加护理费相关待遇的目的，可通过人社经办大厅（RA）渠道完成离休干部护理费的办理。系统需要同时收集相关经办材料，待事项完成后发起相关归档工作。
本次建设涉及申请,补正材料,一审,系统办理,撤销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申请:享受本市养老待遇的离休干部人员，可在事项内选择护理费起始日期，申请享受离休干部护理费。
补正材料:审核人员发现申请人员提交的材料不足或不完整，可在补正材料节点增加补充证明材料。
一审:审核人员对申请的数据，材料等信息进行数据校验和材料准确性校验，对申请数据进行人工审核。
系统办理:对于享受本市养老待遇人员的离休干部增加待遇项目，对于晚办理人员生成补发信息，生成核定表，并出具核定表和归档。
撤销：撤销申请人申请的待遇项目，对于有补发的核定信息，进行补发的撤销追回，撤销应退还的信息，撤回核定表信息。</t>
  </si>
  <si>
    <t>257</t>
  </si>
  <si>
    <t>养老服务-养老终止人员清算</t>
  </si>
  <si>
    <t>建设养老终止人员清算事项包括获取养老人员范围名单，更新未发放过丧葬费抚恤金人员，更新特殊标识人员，更新已支付丧葬费抚恤金及终止时待遇领取月数，更新操作补申领人员信息，更新重算后金额，统计数据处理，在职人员数据处理，单位信息维护，开启日志，中台数据处理，关闭日志，中间表财务数据清除，中间表财务数据生成，财务数据生成共15个节点，实现当年养老，企业终止人员因本市上年度居民月人均可支配收入需要实现补发丧葬费，可通过人社经办大厅（RA）渠道，完成养老终止人员清算。系统需要同时收集相关经办材料，待事项完成后发起相关归档工作。
本次建设涉及养老人员范围名单，更新未发放过丧葬费抚恤金人员，更新特殊标识人员，更新已支付丧葬费抚恤金及终止时待遇领取月数，更新操作补申领人员信息，更新重算后金额，统计数据处理，在职人员数据处理，单位信息维护，开启日志，中台数据处理，关闭日志，中间表财务数据清除，中间表财务数据生成，财务数据生成共计15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</si>
  <si>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258</t>
  </si>
  <si>
    <t>养老服务-当年新增退休人员养老情况统计</t>
  </si>
  <si>
    <t>在年龄结构维度，按年龄划分，同时区分单位性质参保和个人性质参保的人员数量分布，清晰展现不同参保性质下新增退休人员的年龄构成特点。在养老金水平维度，同样依据年龄和参保性质，统计月平均养老金水平，能够直观反映不同年龄、不同参保性质的新增退休人员所享受的养老金待遇差异。这些数据为分析退休人员群体特征、评估养老保险待遇水平、优化养老保障政策提供了精准的数据依据 。</t>
  </si>
  <si>
    <t>259</t>
  </si>
  <si>
    <t>养老服务-职保待遇资格认证情况统计</t>
  </si>
  <si>
    <t>“信息比对来源” 体现数据获取渠道的多样性，为分析认证信息的可靠性和全面性提供依据；“日期” 明确统计时间节点，便于掌握认证工作的时间进度；“当月合计” 和 “当年合计” 直观反映当月及当年领取职保待遇资格认证的数量情况，能清晰展示不同时间段的认证规模；“历史累计” 则综合呈现自相关工作开展以来的认证总数，为社保中心评估资格认证工作的整体成效、规划后续工作安排提供了清晰的数据支撑，有助于及时发现问题并采取针对性措施，确保职保待遇发放的准确性和合规性。</t>
  </si>
  <si>
    <t>260</t>
  </si>
  <si>
    <t>养老服务-年度企业养老参保人员情况统计</t>
  </si>
  <si>
    <t>在人员结构方面，涵盖年龄、性别、单位性质参保和个人身份参保信息，可直观展现新参保职工的年龄分布、性别占比，以及不同单位性质与个人身份下的参保构成；缴费基数层面，通过年龄、单位性质参保、个人性质参保等分类，统计新增参保人员的人均月缴费基数，便于分析不同群体的缴费水平差异。两类数据相互结合，为社保中心全面掌握企业养老保险参保职工特征、缴费状况，制定针对性政策、优化服务流程提供一站式数据支撑。</t>
  </si>
  <si>
    <t>261</t>
  </si>
  <si>
    <t>养老服务-退休人员养老金及参保结构情况统计</t>
  </si>
  <si>
    <t>在人员规模方面，通过 “近两年本市退休（职）人数情况统计表” 记录上年底退休（职）人数、当年按职务职级分类的退休手续办理人数、当年死亡退休退职人数及本年底退休（职）人数，呈现退休人员群体的动态变化；结合 “年底本市机关退休、职人数情况”，聚焦机关退休群体的年末数据，为分析不同类型退休人员数量结构提供支撑。养老金待遇层面，区分单位性质与个人性质参保，分别按统计报表口径和全口径，细化年龄、性别，涵盖基础养老金、过渡性养老金、个人账户养老金及其他项目，全面展示退休人员的养老金构成及水平差异。这些数据相互关联，为社保中心掌握退休人员规模演变、分析养老金待遇分布、优化养老保障政策提供了一站式的数据支持 。</t>
  </si>
  <si>
    <t>262</t>
  </si>
  <si>
    <t>养老服务-退休人员账户及参保情况统计</t>
  </si>
  <si>
    <t>年龄结构方面，区分统计报表口径和全口径，按年龄、性别、单位性质参保、个人身份参保分类，清晰展现年末企业退休职工年龄分布及群体构成特点；个人账户余额维度，同样分两种口径，以年龄、性别、单位性质参保、个人身份参保为划分标准，呈现退休人员人均个人账户余额情况，有助于分析不同群体的账户资金积累差异；封存情况表中，基于全口径，结合年龄、性别，记录封存人数与人均养老金，直观反映退休职工封存状态下的人员规模与待遇水平。这些数据相互补充，为社保中心全面掌握退休职工群体特征、优化养老基金管理、制定精准政策提供了详实的数据依据。</t>
  </si>
  <si>
    <t>263</t>
  </si>
  <si>
    <t>养老服务-离退休人员养老金发放及卡折业务情况统计</t>
  </si>
  <si>
    <t>以 “区县” 和 “发放单位” 作为分类依据，既能从地域角度对比各区县业务情况，也能从机构层面分析不同发放单位的业务规模。数据指标上，“发放人数” 直观展现业务覆盖人群数量，用于衡量业务体量；“占总发放人数比例” 则反映各发放单位在整体发放工作中的份额，体现其重要性；“社区申领、调整卡折情况合计表” 相关数据，补充了养老金发放配套业务的信息。这些数据相互配合，有助于社保中心全面掌握养老金社会化发放及卡折业务全貌，为优化资源分配、提升服务效率、保障养老金精准发放提供有力的数据支持。</t>
  </si>
  <si>
    <t>264</t>
  </si>
  <si>
    <t>养老服务-新建账户与退休情况统计</t>
  </si>
  <si>
    <t>以 “单位性质” 和 “区县” 为分类依据，前者可对比不同性质单位（如企业、机关事业等）在账户新建与退休办理上的差异，后者能分析各区域的业务开展规模与进度。数据指标涵盖 “当月新建账户”“当年累计新建账户”“当月办理退休”“当年累计办理退休”，从月度和年度两个时间维度，清晰展示账户新增和退休办理的数量变化趋势。这些数据整合后，能帮助社保中心全面掌握新建账户和退休业务在单位类型与区域层面的动态情况，为优化资源配置、调整业务流程、制定针对性政策提供有力的数据支撑，助力提升社保业务办理的效率与精准度。</t>
  </si>
  <si>
    <t>265</t>
  </si>
  <si>
    <t>职业年金-职业年金委托收款签约办理</t>
  </si>
  <si>
    <t>建设职业年金委托收款签约办理事项包括窗口受理共1个节点，新参保的用人单位办理社会保险登记，或者已经参保的用人单位，可以选择委托收款方式缴纳职业年金或是修改委托收款帐号、注销委托收款，经分中心受理审核后，用人单位根据须知提示的内容至其所在开户银行办理授权手续，用人单位授权完成后不再需要返回社保，相关信息由建设银行及社保中心通过人行系统进行交换确定，可通过人社经办大厅（RA）渠道完成职业年金委托收款签约办理办理。系统需要同时收集相关经办材料，待事项完成后发起相关归档工作。
本次建设涉及窗口受理共计1个节点功能的对接建设。需按节点流程梳理相关数据字段和字典的对照关系，完成数据查询、条件判断的数据源切换；梳理数据保存的处理逻辑，实现业务数据的入库工作。
窗口受理 单位进行委托收款签约办理</t>
  </si>
  <si>
    <t>266</t>
  </si>
  <si>
    <t>职业年金-职业年金委托收款状态查询</t>
  </si>
  <si>
    <t>建设职业年金委托收款状态查询事项包括查询共1个节点，单位对职业年金委托收款的各项数据按条件查询，可通过人社经办大厅（RA）渠道进行查询。系统需要同时收集相关经办材料，待事项完成后发起相关归档工作。
本次建设涉及共计1个节点功能的对接建设。需按节点流程梳理相关数据字段和字典的对照关系，完成数据查询、条件判断的数据源切换；</t>
  </si>
  <si>
    <t>267</t>
  </si>
  <si>
    <t>职业年金-支付不成功台账管理（职业年金）</t>
  </si>
  <si>
    <t>建设支付不成功台账管理（职业年金）事项包括受理,一审,二审,三审共4个节点，经办人员通过该功能修改并生成新的支付数据，让该部分支付数据能通过再支付功能进行再次支付，可通过人社经办大厅（RA）渠道完成操作。系统需要同时收集相关经办材料，待事项完成后发起相关归档工作。
本次建设涉及受理,一审,二审,三审共计4个节点功能的对接建设。需按节点流程梳理相关数据字段和字典的对照关系，完成数据查询、条件判断的数据源切换；梳理数据保存的处理逻辑，实现业务数据的入库工作。
受理:受理人员选择要操作的支付数据并对造成支付失败的错误支付信息进行修改，提交流传到一审进行审核。
一审:一审审核人员业务经办系统下载和校对申请材料，并核实信息和材料是否有误后提交审核结果。
二审:二审审核人员业务经办系统下载和校对申请材料，并核实信息和材料是否有误后提交审核结果。
三审:三审审核人员业务经办系统下载和校对申请材料，并核实信息和材料是否有误后提交审核结果。</t>
  </si>
  <si>
    <t>268</t>
  </si>
  <si>
    <t>职业年金-保留账户待遇领取</t>
  </si>
  <si>
    <t>建设保留账户待遇领取事项包括申请，一审，二审共3个节点，针对已经是保留账户（已转出并且尚未进行年金账户接续的年金账户）人员，由个人本人申请，单独对保留账户人员操作按月待遇和一次性待遇领取变更，供后续支付使用，可通过人社经办大厅（RA）渠道完成办理。系统需要同时收集相关经办材料，待事项完成后发起相关归档工作。
本次建设涉及申请，一审，二审共3个节点功能的对接建设。需按节点流程梳理相关数据字段和字典的对照关系，完成数据查询、条件判断的数据源切换；梳理数据保存的处理逻辑，实现业务数据的入库工作。
申请:受理人员为了完成服务对象对保留账户待遇领取的受理，校核服务对象提供的材料，通过业务经办系统上传办事材料并录入业务信息，同时给出受理结果。
一审:一审审核人员为了完成保留账户待遇领取的审核，通过业务经办系统下载和校对申请材料，并核实信息和材料是否有误后提交审核结果。
二审:二审审核人员为了完成保留账户待遇领取的审核，通过业务经办系统下载和校对申请材料，并核实信息和材料是否有误后提交审核结果。</t>
  </si>
  <si>
    <t>269</t>
  </si>
  <si>
    <t>职业年金-归集户划款管理</t>
  </si>
  <si>
    <t>建设归集户划款管理事项包括申请,复核,审核,签发共4个节点，经办人员在年金月处理期间根据需要生成划款通知分三大类：一是，缴费资金划受托户；二是，单独利息划转；三是预估支付金额划转。并对生成的划款信息在审核后进行签发，将指令发送给受托机构。可通过人社经办大厅（RA）渠道完成操作。系统需要同时收集相关经办材料，待事项完成后发起相关归档工作。
本次建设涉及申请,复核,审核,签发共计4个节点功能的对接建设。需按节点流程梳理相关数据字段和字典的对照关系，完成数据查询、条件判断的数据源切换；梳理数据保存的处理逻辑，实现业务数据的入库工作。
申请:经办人员根据需要生成各类型的划款通知信息
复核:生成的资金划款通知打印之后，由区社保中心经办部门审核人员，对生成的划款信息进行复核。
审核:社保中心经办部门审核人员，对生成的划款信息进行审核。
签发:审核划款通知后，由复核人员，对生成的划款信息进行签发，将指令发送给受托机构。</t>
  </si>
  <si>
    <t>270</t>
  </si>
  <si>
    <t>职业年金-划款通知书规则维护</t>
  </si>
  <si>
    <t>建设划款通知书规则维护事项包括申请,复核,审核共3个节点，业务人员修改资金划款通知中各机构计划的分摊比例，一般是在每年第一次划款前修改，可通过人社经办大厅（RA）完成办理。系统需要同时收集相关经办材料，待事项完成后发起相关归档工作。
本次建设涉及申请,复核,审核共计3个节点功能的对接建设。需按节点流程梳理相关数据字段和字典的对照关系，完成数据查询、条件判断的数据源切换；梳理数据保存的处理逻辑，实现业务数据的入库工作。
申请:经办人员对每个机构计划的分摊比例进行修改。
复核:复核人员核实修改后的申请信息和材料是否有误后提交复核结果。
审核:审核人员核实修改后的申请信息和材料是否有误后提交审核结果。</t>
  </si>
  <si>
    <t>271</t>
  </si>
  <si>
    <t>职业年金-处理投资收益确认表</t>
  </si>
  <si>
    <t>建设处理投资收益确认表事项包括申请,复核,审核共3个节点，职业年金月处理步骤，生成支付汇总表和支付结算表后，打印当月投资收益确认表，表样需流转到财务，可通过人社经办大厅（RA）完成操作。系统需要同时收集相关经办材料，待事项完成后发起相关归档工作。
本次建设涉及申请,复核,审核共计3个节点功能的对接建设。需按节点流程梳理相关数据字段和字典的对照关系，完成数据查询、条件判断的数据源切换；梳理数据保存的处理逻辑，实现业务数据的入库工作。
申请:根据统一估值和组合估值事项审核通过的估值信息生成对应的当月投资收益确认表
复核:复核人员核实当月投资收益确认表信息和材料是否有误后提交复核结果。
审核:审核人员核实当月投资收益确认表信息和材料是否有误后提交审核结果。</t>
  </si>
  <si>
    <t>272</t>
  </si>
  <si>
    <t>职业年金-应缴转欠缴</t>
  </si>
  <si>
    <t>建设应缴转欠缴事项包括申请共1个节点，职业年金年金月处理步骤，每月月初第一天生成当天应缴数据之前，将上个月及之前的按月未缴纳数据转成当月的欠缴数据，可通过人社经办大厅（RA）完成操作。系统需要同时收集相关经办材料，待事项完成后发起相关归档工作。
本次建设涉及申请共计1个节点功能的对接建设。需按节点流程梳理相关数据字段和字典的对照关系，完成数据查询、条件判断的数据源切换；梳理数据保存的处理逻辑，实现业务数据的入库工作。
申请：将上个月及之前的按月未缴纳数据转成当月的欠缴数据。</t>
  </si>
  <si>
    <t>273</t>
  </si>
  <si>
    <t>职业年金-生成按月支付通知</t>
  </si>
  <si>
    <t>建设生成按月支付通知事项包括申请,复核,审核,签发,回盘共5个节点，职业年金年金月处理步骤，经办人员先生成按月支付通知信息数据，然后等待大额预警，提示预警各状态汇总信息，可查询具体明细，核查不通过的不进这批次支付通知。确认支付信息，打印支付通知，生成支付明细并放至ftp，并将指令发送给支付组合所在计划机构（当前为国寿）。后根据受托机构返回的报文以及文件，更新职业年金按月支付明细数据以及结算表、财务数据，支付失败的数据则进入欠付库。可通过人社经办大厅（RA）完成操作。系统需要同时收集相关经办材料，待事项完成后发起相关归档工作。
本次建设涉及申请,复核,审核,签发,回盘共计5个节点功能的对接建设。需按节点流程梳理相关数据字段和字典的对照关系，完成数据查询、条件判断的数据源切换；梳理数据保存的处理逻辑，实现业务数据的入库工作。
申请:生成按月支付通知信息数据，然后等待大额预警，确认支付信息，打印支付通知，生成支付明细并放至ftp。
复核:复核人员对生成的按月支付信息进行复核，该节点也可以查看明细和大额预警结果，并核实信息和材料是否有误后提交复核结果。
审核:审核人员对生成的按月支付信息进行审核，该节点也可以查看明细和大额预警结果，并核实信息和材料是否有误后提交审核结果。
签发:生成报文并将指令发送给支付组合所在计划机构（当前为国寿）。
回盘:根据受托机构返回的报文以及文件，更新职业年金按月支付明细数据以及结算表、财务数据，支付失败的数据则进入欠付库。</t>
  </si>
  <si>
    <t>274</t>
  </si>
  <si>
    <t>职业年金-生成一次性支付通知</t>
  </si>
  <si>
    <t>建设生成一次性支付通知事项包括申请,复核,审核,签发,回盘共5个节点，职业年金年金月处理步骤，经办人员先生成一次性支付通知信息数据，可查询具体明细。确认支付信息，打印支付通知，生成支付明细并放至ftp，并将指令发送给支付组合所在计划机构（当前为国寿）。后根据受托机构返回的报文以及文件，更新职业年金按月支付明细数据以及结算表、财务数据，支付失败的数据则进入欠付库。可通过人社经办大厅（RA）完成操作。系统需要同时收集相关经办材料，待事项完成后发起相关归档工作。
本次建设涉及申请,复核,审核,签发,回盘共计5个节点功能的对接建设。需按节点流程梳理相关数据字段和字典的对照关系，完成数据查询、条件判断的数据源切换；梳理数据保存的处理逻辑，实现业务数据的入库工作。
申请:生成一次性支付通知信息数据，确认支付信息，打印支付通知，生成支付明细并放至ftp。
复核:复核人员对生成的一次性支付信息进行复核，该节点也可以查看明细，并核实信息和材料是否有误后提交复核结果。
审核:审核人员对生成的一次性支付信息进行审核，该节点也可以查看明细，并核实信息和材料是否有误后提交审核结果。
签发:生成报文并将指令发送给支付组合所在计划机构（当前为国寿）。
回盘:根据受托机构返回的报文以及文件，更新职业年金按月支付明细数据以及结算表、财务数据，支付失败的数据则进入欠付库。</t>
  </si>
  <si>
    <t>275</t>
  </si>
  <si>
    <t>职业年金-生成转移支付通知</t>
  </si>
  <si>
    <t>建设生成转移支付通知事项包括申请,复核,审核,签发,回盘共5个节点，职业年金年金月处理步骤，经办人员先生成转移支付通知信息数据，可查询具体明细。确认支付信息，打印支付通知，生成支付明细并放至ftp，并将指令发送给支付组合所在计划机构（当前为国寿）。后根据受托机构返回的报文以及文件，更新职业年金按月支付明细数据以及结算表、财务数据，支付失败的数据则进入欠付库。可通过人社经办大厅（RA）完成操作。系统需要同时收集相关经办材料，待事项完成后发起相关归档工作。
本次建设涉及申请,复核,审核,签发,回盘共计5个节点功能的对接建设。需按节点流程梳理相关数据字段和字典的对照关系，完成数据查询、条件判断的数据源切换；梳理数据保存的处理逻辑，实现业务数据的入库工作。
申请:生成转移支付通知信息数据，确认支付信息，打印支付通知，生成支付明细并放至ftp。
复核:复核人员对生成的转移支付信息进行复核，该节点也可以查看明细，并核实信息和材料是否有误后提交复核结果。
审核:审核人员对生成的转移支付信息进行审核，该节点也可以查看明细，并核实信息和材料是否有误后提交审核结果。
签发:生成报文并将指令发送给支付组合所在计划机构（当前为国寿）。
回盘:根据受托机构返回的报文以及文件，更新职业年金按月支付明细数据以及结算表、财务数据，支付失败的数据则进入欠付库。</t>
  </si>
  <si>
    <t>276</t>
  </si>
  <si>
    <t>职业年金-处理成交报表</t>
  </si>
  <si>
    <t>建设处理成交报表事项包括申请,复核,审核,签发,反馈确认共5个节点，职业年金年金月处理步骤，经办人员根据汇总职业年金当期申购、赎回数据，按当期统一计划净值，计算并生成成交汇总报表，后对多出份额进行分摊处理；若复核无误，向受托人（国寿）发送投资成交汇总报表。反馈完成、生效后完成账户记账，并可确认本期投资收益，之后生成支付结算表和支付信息汇总表。可通过人社经办大厅（RA）完成操作。系统需要同时收集相关经办材料，待事项完成后发起相关归档工作。
本次建设涉及申请,复核,审核,签发,反馈确认共计5个节点功能的对接建设。需按节点流程梳理相关数据字段和字典的对照关系，完成数据查询、条件判断的数据源切换；梳理数据保存的处理逻辑，实现业务数据的入库工作。
申请:经办人员根据汇总职业年金当期申购、赎回数据，按当期统一计划净值，计算并生成成交汇总报表，后对多出份额进行分摊处理。
复核:复核人员对生成的成交汇总信息进行复核，并核实信息和材料是否有误后提交复核结果。
审核:审核人员对生成的成交汇总信息进行复核，并核实信息和材料是否有误后提交审核结果。
签发:签发人员，对生成的成交报表信息进行签发，将指令发送给受托机构。
反馈确认:对已发送的成交报表信息进行确认生效，生成实记账数据。之后生成支付结算表和支付信息汇总表。</t>
  </si>
  <si>
    <t>277</t>
  </si>
  <si>
    <t>职业年金-处理组合估值信息</t>
  </si>
  <si>
    <t>建设处理组合估值信息事项包括申请,复核共2个节点，根据各计划受托人机构提供的《组合估值信息》经导入、复核组合估值信息，核对单位净值、份额、资产净值，可通过人社经办大厅（RA）完成操作。系统需要同时收集相关经办材料，待事项完成后发起相关归档工作。
本次建设涉及申请,复核共计2个节点功能的对接建设。需按节点流程梳理相关数据字段和字典的对照关系，完成数据查询、条件判断的数据源切换；梳理数据保存的处理逻辑，实现业务数据的入库工作。
申请:对各计划受托人机构发送过来的组合估值信息进行导入操作
复核:对导入的组合估值信息进行审核，并核实信息和材料是否有误后提交审核结果。</t>
  </si>
  <si>
    <t>278</t>
  </si>
  <si>
    <t>职业年金-处理统一估值信息</t>
  </si>
  <si>
    <t>建设处理统一估值信息事项包括申请,复核共2个节点，根据“统一计划收益率审核人”提供的《统一计划单位净值和收益率信息》经导入、复核统一计划单位净值信息，核对单位净值、份额、资产净值以及与各计划提供的这估值信息的勾稽关系。复核完成后触发“个人权益变动补全”，可通过人社经办大厅（RA）完成操作。系统需要同时收集相关经办材料，待事项完成后发起相关归档工作。
本次建设涉及申请,复核共计2个节点功能的对接建设。需按节点流程梳理相关数据字段和字典的对照关系，完成数据查询、条件判断的数据源切换；梳理数据保存的处理逻辑，实现业务数据的入库工作。
申请:对机构发送过来的统一估值信息进行导入操作
复核:对导入的统一估值信息进行审核，并核实信息和材料是否有误后提交审核结果，复核完成后触发“个人权益变动补全”。</t>
  </si>
  <si>
    <t>279</t>
  </si>
  <si>
    <t>职业年金-生成再支付支付通知</t>
  </si>
  <si>
    <t>建设生成再支付通知事项包括申请,复核,审核,签发,回盘共5个节点，职业年金年金月处理步骤，经办人员先生成再支付通知信息数据，可查询具体明细。确认支付信息，打印支付通知，生成支付明细并放至ftp，并将指令发送给支付组合所在计划机构（当前为国寿）。后根据受托机构返回的报文以及文件，更新职业年金再支付明细数据，支付失败的数据则进入欠付库。可通过人社经办大厅（RA）完成操作。系统需要同时收集相关经办材料，待事项完成后发起相关归档工作。
本次建设涉及申请,复核,审核,签发,回盘共计5个节点功能的对接建设。需按节点流程梳理相关数据字段和字典的对照关系，完成数据查询、条件判断的数据源切换；梳理数据保存的处理逻辑，实现业务数据的入库工作。
申请:生成再支付通知信息数据，确认支付信息，打印支付通知，生成支付明细并放至ftp。
复核:复核人员对生成的再支付信息进行复核，该节点也可以查看明细，并核实信息和材料是否有误后提交复核结果。
审核:审核人员对生成的再支付信息进行审核，该节点也可以查看明细，并核实信息和材料是否有误后提交审核结果。
签发:生成报文并将指令发送给支付组合所在计划机构（当前为国寿）。
回盘:根据受托机构返回的报文以及文件，更新职业年金再支付明细数据，支付失败的数据则进入欠付库。</t>
  </si>
  <si>
    <t>280</t>
  </si>
  <si>
    <t>职业年金-预估支付金额维护</t>
  </si>
  <si>
    <t>建设预估支付金额维护事项包括申请,复核,审核共3个节点，职业年金月处理步骤，用户于界面上选择具体定价日期，录入其他金额数据由程序计算并更新当月预估支付金额，该事项为归集户事项的前置事项，可通过人社经办大厅（RA）完成操作。系统需要同时收集相关经办材料，待事项完成后发起相关归档工作。
本次建设涉及申请,复核,审核共计3个节点功能的对接建设。需按节点流程梳理相关数据字段和字典的对照关系，完成数据查询、条件判断的数据源切换；梳理数据保存的处理逻辑，实现业务数据的入库工作。
申请:选择具体定价日期，录入其他金额数据由程序计算当月预估支付金额。
复核:复核人员对生成的当月预估支付金额进行复核，并核实信息和材料是否有误后提交复核结果。
审核:审核人员对生成的当月预估支付金额进行审核，并核实信息和材料是否有误后提交审核结果。</t>
  </si>
  <si>
    <t>281</t>
  </si>
  <si>
    <t>职业年金-入账通知地址更新</t>
  </si>
  <si>
    <t>建设入账通知地址更新事项包括申请共1个节点，为更好的服务参保对象，解决机关事业单位缴费入账凭证问题，建行会向单位寄发归集资金入账通知，由于单位可能存在变更单位账户等情况，故需要通过本功能提供单位变更基本信息后的更新数据，可通过人社经办大厅（RA）完成操作。系统需要同时收集相关经办材料，待事项完成后发起相关归档工作。
本次建设涉及申请共计1个节点功能的对接建设。需按节点流程梳理相关数据字段和字典的对照关系，完成数据查询、条件判断的数据源切换；梳理数据保存的处理逻辑，实现业务数据的入库工作。
申请：查询当月已生成按月支付信息且未支付的单位支付信息，并提供导出。</t>
  </si>
  <si>
    <t>282</t>
  </si>
  <si>
    <t>职业年金-生成职业年金应缴信息（统模式）</t>
  </si>
  <si>
    <t>建设生成职业年金应缴信息（统模式）事项包括申请共1个节点，查询当日之前税务流转到年金的单位按月应缴和特殊征集信息，且未生成年金应缴纳信息的生成对应的年金应缴纳信息，可通过人社经办大厅（RA）渠道】完成操作。系统需要同时收集相关经办材料，待事项完成后发起相关归档工作。
本次建设涉及申请共计1个节点功能的对接建设。需按节点流程梳理相关数据字段和字典的对照关系，完成数据查询、条件判断的数据源切换；梳理数据保存的处理逻辑，实现业务数据的入库工作。
申请：查询当日之前税务流转到年金的单位按月应缴和特殊征集信息，且未生成年金应缴纳信息的生成对应的年金应缴纳信息。</t>
  </si>
  <si>
    <t>283</t>
  </si>
  <si>
    <t>职业年金-职业年金缴纳通知书下载（统模式）</t>
  </si>
  <si>
    <t>建设职业年金缴纳通知书下载（统模式）事项包括申请共1个节点，生成当月入库日期在15号之前的单位缴纳通知书信息文本文件，上传到ftp并提供下载，可通过人社经办大厅（RA）完成操作。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本次建设涉及共计1个节点功能的对接建设。需按节点流程梳理相关数据字段和字典的对照关系，完成数据查询、条件判断的数据源切换；梳理数据保存的处理逻辑，实现业务数据的入库工作。</t>
  </si>
  <si>
    <t>284</t>
  </si>
  <si>
    <t>职业年金-生成职业年金一次性待遇核定表</t>
  </si>
  <si>
    <t>建设生成职业年金一次性待遇核定表事项包括申请共1个节点，每月年金月处理完成后根据上一月度职业年金一次性待遇支付名单生成对应的即时办理事项和核定表文件，提供单位下载，经办人员可通过人社经办大厅（RA）完成操作后，单位可通过自助经办进行核定表下载。系统需要同时收集相关经办材料，待事项完成后发起相关归档工作。
本次建设涉及申请共计1个节点功能的对接建设。需按节点流程梳理相关数据字段和字典的对照关系，完成数据查询、条件判断的数据源切换；梳理数据保存的处理逻辑，实现业务数据的入库工作。
申请：选择发放月份，生成对应一次性待遇支付核定表。</t>
  </si>
  <si>
    <t>285</t>
  </si>
  <si>
    <t>职业年金-职业年金补记申请表</t>
  </si>
  <si>
    <t>建设职业年金补记申请表事项包括申请共1个节点，为更好的服务参保对象，解决机关事业单位申请职业年金补记时统计人员明细信息文档规范，提供统一模板下载，可通过自助经办完成办理。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</si>
  <si>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286</t>
  </si>
  <si>
    <t>职业年金-职业年金补记试算</t>
  </si>
  <si>
    <t>建设职业年金补记试算事项包括申请共1个节点，为更好的服务参保对象，解决机关事业单位申请职业年金补记时统计人员明细信息和缴纳信息，窗口办理人员对单位提供针对单位内因人员缴纳基数和补记时间不同进行缴纳金额的测算，可通过人社经办大厅（RA）完成操作。系统需要同时收集相关经办材料，待事项完成后发起相关归档工作。
本次建设涉及申请共计1个节点功能的对接建设。需按节点流程梳理相关数据字段和字典的对照关系，完成数据查询、条件判断的数据源切换；梳理数据保存的处理逻辑，实现业务数据的入库工作。
申请：办理人员对单位提供针对单位内因人员缴纳基数和补记时间不同进行缴纳金额的测算，并生成测算文件提供下载。</t>
  </si>
  <si>
    <t>287</t>
  </si>
  <si>
    <t>职业年金-职业年金转入</t>
  </si>
  <si>
    <t>建设职业年金转入事项包括业务申请,业务受理,信息表录入,受理待转,转入审核,转入复核,转入确认,撤销共8个节点，实现机关事业人员因工作变动需要实现职业年金缴费转入，可通过人社经办大厅（RA），部转移平台网上申请渠道完成职业年金转入的办理/操作。系统需要同时收集相关经办材料，待事项完成后发起相关归档工作。
本次建设涉及业务申请,业务受理,信息表录入,转入审核,转入复核,转入确认共计6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业务申请:需转入的人员在人社大厅进行转入的申请，部转移平台的申请通过定时任务获取申请信息生成对应的事项。
业务受理:对部转移平台申请数据及人社大厅申请数据进行确认处理，对部转移平台申请数据进行联系函上传处理。
信息表录入:对需要线下转入的人员进行手动录入信息表处理。
转入审核:对获取到的信息表进行审核，对转移平台申请信息审核通过时上传信息表确认，生成财务信息，审核不通过时进行信息表不通过确认，驳回对转移平台信息表进行驳回，本地节点退回受理待转，待对方重新处理。
受理待转：对部转移平台申请已上传联系函信息数据等待转出方上传信息表，或对线上申请业务进行转入线下手动录入信息表处理。
转入复核:对转入审核信息表进行调整数据进行复核确认。
转入确认：对转入审核已通过的数据，财务已确认到账进行到账金额记账处理。</t>
  </si>
  <si>
    <t>288</t>
  </si>
  <si>
    <t>职业年金-职业年金转出</t>
  </si>
  <si>
    <t>建设职业年金转出事项包括业务申请,业务受理,转出审核,转出确认,撤销共5个节点，实现机关事业人员因工作变动需要实现职业年金转出，可通过人社经办大厅（RA），部转移平台渠道完成职业年金转出的办理/操作。系统需要同时收集相关经办材料，待事项完成后发起相关归档工作。
本次建设涉及业务申请,转出审核,转出确认,撤销转出确认共计4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业务申请:对需要转出人员在人社大厅进行业务申请，部转移平台转入放上传转移联系函本地定时任务获取进行事项生成，并上传下载确认。
转出审核:对已申请的人员进行转出信息表的录入。
转出确认:对已审核通过且年金月处理完成人员进行转出确认生成财务信息，对部转移平台申请信息上传信息表。
撤销转出确认：对已审核未上传信息表，年金月处理未开始人员进行撤销，节点回退至转出审核。</t>
  </si>
  <si>
    <t>289</t>
  </si>
  <si>
    <t>职业年金-职业年金补记</t>
  </si>
  <si>
    <t>建设职业年金补记事项包括受理1个节点，实现为更好的服务参保对象，为机关事业单位提供职业年金补记功能，窗口办理人员对单位提供的单位人员的缴纳基数和补记月数和补记总额进行缴纳金额的计算，并完成补记，生成记账记录，待事项完成后发起相关归档工作。
本次建设涉及受理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受理：对单位提供的单位人员的缴纳基数和补记月数和补记总额进行缴纳金额的计算，并完成补记，生成记账记录。</t>
  </si>
  <si>
    <t>290</t>
  </si>
  <si>
    <t>职业年金-撤销补记职业年金</t>
  </si>
  <si>
    <t>建设撤销补记职业年金事项包括撤销1个节点，实现撤销职业年金补记事项生成的相关补记记录，待事项完成后发起相关归档工作。
本次建设涉及撤销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撤销:对已完成的职业年金补记业务变更以及生成的相关补记记录进行撤销，并撤销相关核定表。</t>
  </si>
  <si>
    <t>291</t>
  </si>
  <si>
    <t>职业年金-个人养老金领取资格申请</t>
  </si>
  <si>
    <t>建设个人养老金领取资格申请事项包括申请、一审共2个节点，实现个人养老金缴费的个人因到龄，丧劳，死亡，出国等原因需要实现领取个人养老金的余额，可通过人社经办大厅（RA）渠道，完成领取个人养老金办理。系统需要同时收集相关经办材料，待事项完成后发起相关归档工作。
本次建设涉及申请，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申请的个人对象，通过线下经办申请领取个人养老金余额，需通过省端校验领取原因，提交时校验部端校验接口，确认是否存在个人养老金缴费等校验接口，校验接口部分数据当场办结，生成核定表，归档。
一审：对于不可当场办结数据由经办机构审核人员，审核申请的领取原因及相关资料信息准确性，审核后将材料和信息提交部平台，通过审核，生成核定表，归档。</t>
  </si>
  <si>
    <t>292</t>
  </si>
  <si>
    <t>职业年金-个人养老金领取资格审核</t>
  </si>
  <si>
    <t>建设个人养老金领取资格审核事项包括申请，一审共2个节点，实现个人养老金缴费的个人因到龄，丧劳，死亡，出国等原因需要实现领取个人养老金的余额，可通过人社经办大厅（RA）渠道，完成领取个人养老金办理。系统需要同时收集相关经办材料，待事项完成后发起相关归档工作。
本次建设涉及申请，一审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申请：通过部平台推送个人养老金领取数据需省端审核数据，由省定时任务生成重新排列符合省端审核要求的可视化数据格式。
一审：审核部平台推送需省端经办机构审核的数据，进行数据有效性的审核，及材料补充，比对省端本地数据，进行审核校验。审核通过后提交材料、数据至部平台，完成审核，出具核定表，归档。</t>
  </si>
  <si>
    <t>293</t>
  </si>
  <si>
    <t>职业年金-职业年金个人账户查询</t>
  </si>
  <si>
    <t>建设职业年金个人账户查询事项包括申请共1个节点，经办人员查询年金账户人员各年度汇总信息和对应各月份明细，包括所有缴纳类型和支付类型信息，可通过人社经办大厅（RA）渠道完成操作。系统需要同时收集相关经办材料，待事项完成后发起相关归档工作。
本次建设涉及共计1个节点功能的对接建设。需按节点流程梳理相关数据字段和字典的对照关系，完成数据查询、条件判断的数据源切换；梳理数据保存的处理逻辑，实现业务数据的入库工作。</t>
  </si>
  <si>
    <t>294</t>
  </si>
  <si>
    <t>职业年金-机关事业单位职业年金情况统计</t>
  </si>
  <si>
    <t>参保人员层面，以项目分类，详细记录参保职工人数、领取待遇人数、退休（职）人数等，清晰呈现职业年金参保群体规模与结构；退休人员维度，按单位类型统计当年累计退休人数、退休时职业年金总额、当年月职业年金平均水平及退休年龄，直观反映退休人员职业年金待遇状况；账户管理方面，涵盖单位数、个人账户数等信息，展现职业年金账户管理的基本情况。这些数据相互关联、互为补充，为社保中心评估职业年金政策效果、优化基金管理、完善服务体系提供了一站式数据支撑，助力实现职业年金业务精细化管理。</t>
  </si>
  <si>
    <t>295</t>
  </si>
  <si>
    <t>企业职工养老保险-个人办理病残津贴申领手续</t>
  </si>
  <si>
    <t>建设个人办理病残津贴申领手续事项包括申请,容缺材料补全,系统预审,审核A,审核B,审核C,人工预审,审核裁定,会审,复核,系统办理,现场验原件,一审,二审,三审,撤销共16个节点，实现本市企业养老保险参保人员因持符合规定的劳动能力鉴定结论书需要实现向社保分中心申领病残津贴待遇，可通过人社经办大厅（RA）渠道完成个人办理病残津贴申领手续的办理。系统需要同时收集相关经办材料，待事项完成后发起相关归档工作。
本次建设涉及申请,补正材料,系统办理,一审,撤销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申请:本市企业养老保险参保人员，持符合规定的劳动能力鉴定结论书，向社保分中心发起申领病残津贴待遇申请
补正材料:申请人员需补正审核人员选择的不符合条件的材料，不可修改申请数据，提交完成后重新推送至原审核人员
系统办理:审核最终通过后，根据提交的数据，增加病残津贴领取资格审核信息，材料归档
一审:审核人员对申请数据做出核定，需根据申请数据和上传材料核定该人员法定退休年月，根据申请日期确认工作年限
撤销：由于风控、业务经办人员发起等原因可以操作事项撤销。更新事项状态、撤销病残津贴领取资格审核信息、生成撤销核定表。</t>
  </si>
  <si>
    <t>296</t>
  </si>
  <si>
    <t>企业职工养老保险-病残津贴人员资格公示</t>
  </si>
  <si>
    <t>建设病残津贴人员资格公示事项包括资格公示共1个节点，实现办理病残津贴申领手续人员因政策要求需要实现资格公示，可通过人社经办大厅（RA）渠道，完成病残津贴人员资格公示。系统需要同时收集相关经办材料，待事项完成后发起相关归档工作。
本次建设涉及资格公示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资格公示：录入审核区、批次号、申请日期、审批日期、证件号码、社会公示开始日期、社会公示截止日期、是否已公示、是否存在投诉举报等查询条件，点击查询，展示查询结果，区级操作人仅可进行查询导出，市级操作人可批量编辑公示信息</t>
  </si>
  <si>
    <t>297</t>
  </si>
  <si>
    <t>企业职工养老保险-个人办理病残津贴申领手续（待遇核定）</t>
  </si>
  <si>
    <t>建设个人办理病残津贴申领手续（待遇核定）事项包括申请,容缺材料补全,系统预审,审核A,审核B,审核C,人工预审,审核裁定,会审,复核,系统办理,现场验原件,一审,二审,三审,撤销共16个节点，实现办理病残津贴申领人员因资格公示通过需要实现核定病残待遇，可通过人社经办大厅（RA）渠道完成享受病残津贴待遇人员的待遇核定。系统需要同时收集相关经办材料，待事项完成后发起相关归档工作。
本次建设涉及申请,补正材料,系统办理,一审,撤销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申请:本市企业养老保险参保人员，审核通过病残津贴资格公示后，发起病残待遇核定申请
补正材料:申请人员需补正审核人员选择的不符合条件的材料，不可修改申请数据，提交完成后重新推送至原审核人员
系统办理:审核最终通过后，根据提交的数据，增加享受待遇基本信息、病残津贴人员信息、人员定期待遇项目明细、定期待遇本地项目明细、人员待遇补发扣发项目明细，材料归档
一审:审核人员对申请数据做出核定，需根据申请数据和上传材料录入或计算病残待遇组成项目，并根据情况增加补退信息
撤销：由于风控、业务经办人员发起等原因可以操作事项撤销。更新事项状态、撤销享受待遇基本信息、撤销病残津贴人员信息、撤销人员定期待遇项目明细、撤销定期待遇本地项目明细、撤销人员待遇补发扣发项目明细、撤销应退还资金台账、生成撤销核定表。</t>
  </si>
  <si>
    <t>298</t>
  </si>
  <si>
    <t>企业职工养老保险-个人办理病残津贴待遇封存手续</t>
  </si>
  <si>
    <t>建设个人办理病残津贴待遇封存手续事项包括申请,容缺材料补全,系统预审,审核A,审核B,审核C,人工预审,审核裁定,会审,复核,系统办理,现场验原件,一审,二审,三审,撤销共16个节点，实现享受病残待遇津贴的待遇人员因下落不明、被羁押、判刑等原因需要实现病残待遇发放暂停，可通过人社经办大厅（RA）渠道完成病残待遇暂停业务的办理。系统需要同时收集相关经办材料，待事项完成后发起相关归档工作。
本次建设涉及申请,系统办理,一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申请:单位办事人员通过业务经办系统办理享受病残待遇津贴的待遇人员办理暂停发放待遇业务。
系统办理:审核通过后系统更新享受病残待遇津贴的待遇人员状态，生成补发退还金额，生成应退还资金台账及核定表，发起材料归档
一审：区社保中心经办部门审核人员为了完成对养老待遇封存申请的审核，确认暂停起始日期，确认待遇退还的金额明细，通过业务经办系统下载和校对申请材料，并核实信息和材料是否有误后提交审核结果。</t>
  </si>
  <si>
    <t>299</t>
  </si>
  <si>
    <t>企业职工养老保险-个人办理病残津贴待遇启封手续</t>
  </si>
  <si>
    <t>建设个人办理病残津贴待遇启封手续事项包括申请,容缺材料补全,系统预审,审核A,审核B,审核C,人工预审,审核裁定,会审,复核,系统办理,现场验原件,一审,二审,三审,撤销共16个节点，实现享受病残待遇津贴的待遇人员因失踪已找到、刑满释放、生存证明补全等原因或事由需要实现原暂停待遇发放状态修改为正常发放待遇的目的，可通过人社经办大厅（RA）渠道完成病残待遇恢复发放的办理。系统需要同时收集相关经办材料，待事项完成后发起相关归档工作。
本次建设涉及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</si>
  <si>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300</t>
  </si>
  <si>
    <t>企业职工养老保险-个人办理养老金卡（折）调整手续</t>
  </si>
  <si>
    <t>建设个人办理养老金卡（折）调整手续事项包括申请,容缺材料补全,系统预审,一审,人工办理,审核C,审核A,审核B,二审,人工预审,会审,审核裁定,三审,复核,系统办理,现场验原件,撤销共17个节点，实现享受本市养老待遇人员因发放信息修改需要实现待遇发放信息修改目的，可通过社区事务受理窗口、随申办APP、人社经办大厅（RA）渠道完成待遇发放信息调整办理。系统需要同时收集相关经办材料，待事项完成后发起相关归档工作。
本次建设涉及申请,一审,系统办理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申请:待遇发放信息中选择待遇发放卡、补贴卡、年金卡，中选择一个或多个，可在信息中选择社保卡或其他银行卡变更为待遇发放的银行账户。
一审:重新审核系统办理因业务校验失败的数据，重新由业务人员审核，重新系统办理。
系统办理：正常待遇发放的人员提交申请后，由系统更新申请的发放银行信息，并归档。</t>
  </si>
  <si>
    <t>301</t>
  </si>
  <si>
    <t>企业职工养老保险-个人办理申领养老金手续</t>
  </si>
  <si>
    <t>建设个人办理申领养老金手续事项包括申请,容缺材料补全,系统预审,审核A,审核B,审核C,人工预审,审核裁定,会审,复核,系统办理,现场验原件,一审,二审,三审,撤销共16个节点，实现灵活就业人员、停止缴费人员因到龄以及因为各种原因导致的提前退休需要实现养老待遇申领，可通过一网通办、社区事务受理窗口、随申办APP、人社经办大厅（RA）渠道完成个人办理申领养老金手续的办理，并可同时申领计划生育奖励费。系统需要同时收集相关经办材料，待事项完成后发起相关归档工作。
本次建设涉及申请,补正材料,审核A,审核B,审核裁定,会审,复核,系统办理,一审,二审,三审,撤销共计12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个人通过一网通办系统、社区窗口、随申办APP，办理单位从业人员到龄和提前退休申请养老待遇业务申请；区社保中心经办部门受理人员为了完成服务对象对养老待遇申请的受理，校核服务对象提供的材料，通过业务经办系统上传办事材料并录入业务信息，同时给出受理结果
补正材料:申请人员需补正审核人员选择的不符合条件的材料，不可修改申请数据，提交完成后重新推送至原审核人员
审核A:申请时选择提前退休时进行并行审核，审核人员在该节点获取账户存储额、全部工作年限核定养老金组成项目，若存在晚办理情况，计算补退信息，操作完成后提交审核结论
审核B:申请时选择提前退休时进行并行审核，审核人员在该节点获取账户存储额、全部工作年限核定养老金组成项目，若存在晚办理情况，计算补退信息，操作完成后提交审核结论
审核裁定:并行审核结论不一致，或提交数据不一致时，由裁定人员选择并行审核某一条作为审核结论
会审:由一审人员操作审核结论时若不能确认审核结果，可勾选“会审”提交会审人员，对于提交会审的业务，并会进行一审、二审、三审，会审人员在会审节点进行
复核:区社保中心经办部门审核人员（非一审操作人员），对申报信息和审核信息不一致的或该事项有复核规则，进行复核并提交复核结果。
系统办理:审核通过后系统生成待遇基本信息、发放信息、年金基本信息、年金发放信息、变更信息、补发信息及核定表，发起材料归档。
一审:社保中心经办部门审核人员为了完成对机关事业养老待遇申请的审核，通过业务经办系统下载和校对申请材料，并核实信息和材料是否有误后提交审核结果。
二审:社保中心经办部门审核人员为了完成对机关事业养老待遇申请的审核，通过业务经办系统下载和校对申请材料，并核实信息和材料是否有误，确认一审结果是否有误，提交审核结果。
三审:社保中心经办部门审核人员为了完成对机关事业养老待遇申请的审核，通过业务经办系统下载和校对申请材料，并核实信息和材料是否有误，确认一审结果是否有误，提交审核结果。
撤销：由于风控、单位发起、业务经办人员发起等原因可以操作事项撤销。更新事项状态、删除待遇基本信息、发放信息、年金基本信息、年金发放信息、变更信息、补发信息、生成撤销核定表。</t>
  </si>
  <si>
    <t>302</t>
  </si>
  <si>
    <t>企业职工养老保险-病残综合查询</t>
  </si>
  <si>
    <t>建设病残综合查询事项包括病残发放人员基本信息、人员所在单位信息、特殊工种信息、待遇发放信息、待遇账户情况、资格认证信息共1个节点，实现享受病残待遇人员因信息查询需求的原因或事由需要实现在查询页面全面了解享受病残待遇人员的相关待遇信息，可通过人社经办大厅（RA）渠道，完成病残待遇人员信息的查询操作。
本次建设涉及病残发放人员基本信息、人员所在单位信息、特殊工种信息、待遇发放信息、待遇账户情况、资格认证信息等信息查询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t>
  </si>
  <si>
    <t>303</t>
  </si>
  <si>
    <t>企业职工养老保险-个人办理病残津贴停发手续</t>
  </si>
  <si>
    <t>建设个人办理病残津贴停发手续事项包括申请,容缺材料补全,系统预审,审核A,审核B,审核C,人工预审,审核裁定,会审,复核,系统办理,现场验原件,一审,二审,三审,撤销共16个节点，实现病残津贴人员因死亡或重新参保需要实现病残津贴待遇停止发放，可通过人社经办大厅（RA）渠道完成个人办理病残津贴停发手续的办理/操作。系统需要同时收集相关经办材料，待事项完成后发起相关归档工作。
本次建设涉及申请,系统办理,一审共计3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申请:需要停止发放病残津贴人员申请操作并上传所需材料。
系统办理:对审核通过数据进行中台数据上传，生成对应的按月补发退还信息，生成财务补发退还信息。
一审：对申请数据进行审核，并对生成的按月补发退还金额进行核对。</t>
  </si>
  <si>
    <t>304</t>
  </si>
  <si>
    <t>企业职工养老保险-病残津贴待遇重新核定</t>
  </si>
  <si>
    <t>建设病残津贴待遇重新核定事项包括申请,容缺材料补全,系统预审,审核A,审核B,审核C,人工预审,审核裁定,会审,复核,系统办理,现场验原件,一审,二审,三审,撤销共16个节点，实现享受病残津贴待遇人员因临近法定退休年月5年内需要实现重新计算病残待遇，可通过人社经办大厅（RA）渠道完成病残津贴待遇重新核定的办理。系统需要同时收集相关经办材料，待事项完成后发起相关归档工作。
本次建设涉及申请,补正材料,系统办理,一审,撤销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申请:本市享受病残津贴待遇人员因临近法定退休年月5年内需要重新计算病残待遇，发起病残待遇重新核定申请
补正材料:申请人员需补正审核人员选择的不符合条件的材料，不可修改申请数据，提交完成后重新推送至原审核人员
系统办理:审核最终通过后，根据提交的数据，增加享受待遇基本信息、病残津贴人员信息、人员定期待遇项目明细、定期待遇本地项目明细、人员待遇补发扣发项目明细，材料归档
一审:审核人员对申请数据做出核定，需根据申请数据和上传材料录入或计算病残待遇组成项目，并根据情况增加补退信息
撤销：由于风控、业务经办人员发起等原因可以操作事项撤销。更新事项状态、撤销享受待遇基本信息、撤销病残津贴人员信息、撤销人员定期待遇项目明细、撤销定期待遇本地项目明细、撤销人员待遇补发扣发项目明细、撤销应退还资金台账、生成撤销核定表。</t>
  </si>
  <si>
    <t>305</t>
  </si>
  <si>
    <t>企业职工养老保险-领取病残津贴人员办理基本养老金申领手续</t>
  </si>
  <si>
    <t>建设领取病残津贴人员办理基本养老金申领手续事项包括申请,容缺材料补全,系统预审,审核A,审核B,审核C,人工预审,审核裁定,会审,复核,系统办理,现场验原件,一审,二审,三审,撤销共16个节点，实现享受病残津贴待遇人员因到达法定退休年月需要实现病残转退休，可通过人社经办大厅（RA）渠道完成领取病残津贴人员办理基本养老金申领手续的办理。系统需要同时收集相关经办材料，待事项完成后发起相关归档工作。
本次建设申请,补正材料,系统办理,一审,撤销共计5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申请:本市享受病残津贴待遇人员因到达法定退休年月需要进行病残转退休，发起申请
补正材料:申请人员需补正审核人员选择的不符合条件的材料，不可修改申请数据，提交完成后重新推送至原审核人员
系统办理:审核最终通过后，根据提交的数据，增加享受待遇基本信息、离退休人员信息、人员定期待遇项目明细、定期待遇本地项目明细、人员待遇补发扣发项目明细，材料归档
一审:审核人员对申请数据做出核定，需根据申请数据和上传材料录入或计算病残待遇组成项目对应的养老金组成项目，并根据情况增加补退信息
撤销：由于风控、业务经办人员发起等原因可以操作事项撤销。更新事项状态、回退享受待遇基本信息、撤销离退休人员信息、撤销人员定期待遇项目明细、撤销定期待遇本地项目明细、撤销人员待遇补发扣发项目明细、撤销应退还资金台账、生成撤销核定表。</t>
  </si>
  <si>
    <t>306</t>
  </si>
  <si>
    <t>企业职工养老保险-病残津贴清算</t>
  </si>
  <si>
    <t>建设病残津贴清算事项包括病残待遇清算共1个节点，实现享受病残津贴待遇人员因社平工资调整需要实现病残津贴待遇增加，可通过人社经办大厅（RA）渠道，完成病残津贴清算操作。系统需要同时收集相关经办材料，待事项完成后发起相关归档工作。
本次建设涉及病残津贴待遇清算共计1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病残津贴清算：操作员在“年度处理计划”中配置“病残津贴清算”计划，程序自动执行，执行步骤包含：病残津贴清算
病残津贴清算-生成人员范围
病残津贴清算-分区按算法重新计算养老金
病残津贴清算-处理计算结果生成中台数据
病残津贴清算-生成发放明细
病残津贴清算-生成财务接口
病残津贴清算-校验支付数据
病残津贴清算-上传中台数据</t>
  </si>
  <si>
    <t>307</t>
  </si>
  <si>
    <t>企业职工养老保险-查询事项适配改造</t>
  </si>
  <si>
    <t>由于本次全险种待遇中心共表，原城保养老信息查询，非因工遗属人员享受待遇截止年月查询，个人享受城镇基本养老金情况，供养亲属抚恤金截止年月查询，养老待遇查询个人(门户)相关事项需要进行表结构适配调整</t>
  </si>
  <si>
    <t>308</t>
  </si>
  <si>
    <t>企业职工养老保险-企业职工养老相关事项适配改造</t>
  </si>
  <si>
    <t>由于本次全险种待遇中心共表，原企业职工申领养老金，企业退休人员养老待遇终止，企业退休人员养老待遇启封，企业退休人员养老待遇封存，个人办理养老待遇终止手续，个人办理养老待遇启封手续，个人办理养老待遇封存手续相关事项需要进行表结构适配调整</t>
  </si>
  <si>
    <t>309</t>
  </si>
  <si>
    <t>企业职工养老保险-其他待遇申领事项适配改造</t>
  </si>
  <si>
    <t>由于本次全险种待遇中心共表，原办理单位精减回乡人员配偶申领生活补助费，参保人员（单位职工）申领一次性补充养老金，参保人员（单位职工）申领一次性计划生育奖励费，法院代扣录入，非因工死亡职工遗属申领生活困难补助费，个人办理非因工死亡职工遗属补助费申领手续，个人办理一次性补充养老金申领手续，个人办理一次性计划生育奖励费申领手续，离休干部护理费申领，申领企业军转干部生活补助费相关事项需要进行表结构适配调整</t>
  </si>
  <si>
    <t>310</t>
  </si>
  <si>
    <t>企业职工养老保险-其他待遇变更事项适配改造</t>
  </si>
  <si>
    <t>由于本次全险种待遇中心共表，原城保终止人员清算，非因工遗属人员和精简回乡配偶调整，机关事业代发生活补贴调整，企业军转干部生活补助费批处理，待遇止付，养老人员（单位职工）养老关系集体转移，养老人员待遇批量清算相关事项需要进行表结构适配调整</t>
  </si>
  <si>
    <t>311</t>
  </si>
  <si>
    <t>企业职工养老保险-延迟退休和弹性退休情况统计</t>
  </si>
  <si>
    <t>在适用延退政策方面，区分不同情况统计适用延退政策和不适用延退政策的人员情况，有助于分析延退政策的覆盖范围；涉及本市政策相关数据，能反映本市对于延迟退休和弹性退休的政策落实情况；以当月办理人员数量为指标，清晰展现每月不同退休情况的办理规模；按性别分类统计，可对比不同性别在延迟退休和弹性退休方面的差异。“管 10” 表是综合统计，“管 11” 表聚焦企业保，“管 12” 表侧重机关保，这些数据相互补充，为社保中心全面了解延迟退休和弹性退休的整体状况、优化政策制定和管理提供了多维度的数据支持，便于针对不同群体制定更精准的退休政策和服务策略。</t>
  </si>
  <si>
    <t>312</t>
  </si>
  <si>
    <t>企业职工养老保险-中断缴费与柔性延迟人员情况统计</t>
  </si>
  <si>
    <t>在中断缴费业务上，以 “区县” 为地域分类依据，通过 “中断缴费人数”“当月中断缴费人数”“当月恢复缴费人数”，清晰呈现各区域人员缴费状态的变动趋势，便于社保中心掌握不同地区缴费稳定性，针对性优化服务。而柔性延迟人员情况方面，“累计办理柔延人数”“期末参保人数” 反映人员规模，“月平均缴费基数” 等 12 项指标，涵盖参保、缴费等多方面信息，可深入分析柔性延迟人员群体特征与参保缴费情况。二者结合，为社保中心全面了解参保人员动态、制定精准政策、合理规划社保基金收支提供多维度数据支撑 。</t>
  </si>
  <si>
    <t>313</t>
  </si>
  <si>
    <t>社保公共-支付类月度处理</t>
  </si>
  <si>
    <t>包括生成养老应支付信息、病残津贴生成应支付信息、待遇支付信息计账、工伤待遇支付月库处理，实现按照支付内容按月生成下月应支付信息和财务账目，推送银行进行发放，并根据银行发放情况进行发放确认计账工作</t>
  </si>
  <si>
    <t>314</t>
  </si>
  <si>
    <t>社保公共-变更类月度处理</t>
  </si>
  <si>
    <t>包括非因工遗属批量封存，批量生成卡折调整终止手续，实现对于不符合的人员进行批量封存，对于卡折错误人员进行批量卡折调整终止。</t>
  </si>
  <si>
    <t>315</t>
  </si>
  <si>
    <t>社保公共-参保缴费月度处理</t>
  </si>
  <si>
    <t>包括单位信息同步更新、参保月度处理，补缴月度处理，记账处理，实现单位名称、单位法人信息定期同共享信息批量比对更新，人员参保停止信息核定推送税务征收，按月特殊补缴信息推送税务，同时根据税务返回信息进行财务和业务记账。</t>
  </si>
  <si>
    <t>316</t>
  </si>
  <si>
    <t>社保公共-年度处理</t>
  </si>
  <si>
    <t>包括每年的机关事业增资处理，精减回乡配偶和非因工遗属增资处理，机关事业待遇清算，离休人员增发离休费，元旦春节补助，城保年度结息(养老保险，病残津贴)</t>
  </si>
  <si>
    <t>317</t>
  </si>
  <si>
    <t>社保公共-业务经办系统事项柜面办理量统计</t>
  </si>
  <si>
    <t>一方面，以区县和直属部为单位，如长宁、静安等区分中心及直属部，记录具体经办人员姓名、业务办理总量，以及企业职工就业参保登记等 61 项具体业务的办理数据，能直观呈现各区域每位经办人员对不同业务的办理情况，反映个体工作负荷与业务专长；另一方面，“社 2_5” 表从宏观层面，以区县为统计单元，涵盖办理数量和事项名称，展示各区县整体的业务办理规模与业务类型分布。两类数据结合，既便于社保中心掌握各区域一网通办事项柜面办理的微观操作细节，也利于从宏观上分析业务办理的区域差异、热门事项分布，从而优化资源配置、提升服务效率、完善业务流程。</t>
  </si>
  <si>
    <t>318</t>
  </si>
  <si>
    <t>社保公共-退休一件事申办情况统计</t>
  </si>
  <si>
    <t>宏观层面，以区县为分类，呈现当月申办情况和当年累计申办情况，能直观反映各区县在退休申办业务上的数量规模及时间跨度上的累计数据，便于社保中心掌握整体申办态势和区县间的业务差异。微观角度，涵盖事务 ID、申请事项、申请时间、申请对象 PID、对应区县、对应机构、申请节点操作人姓名等信息，精准追踪每个申办事务的具体情况，包括事项内容、时间记录、涉及机构及操作人，有助于深入分析业务流程中的细节问题，评估操作规范性，为优化退休申办服务、提升业务办理效率和责任追溯提供详实的数据依据。</t>
  </si>
  <si>
    <t>319</t>
  </si>
  <si>
    <t>社保公共-社保咨询业务与入户调查情况统计</t>
  </si>
  <si>
    <t>在业务咨询模块，以 “区县” 为地域标识，“咨询分类” 细化咨询内容类别，“业务种类” 明确咨询涉及的具体社保业务；同时通过 “按登记类型分类”“按回复方式分类”，展现咨询业务的登记与处理模式，助力分析各区域咨询热点、优化服务流程。入户调查模块则聚焦人员个体信息，从 “户籍区县” 到 “联系电话” 实现精准身份定位，“调查方式”“无法调查原因” 记录调查过程与阻碍因素，“缴费状况”“养老状况” 等 21 项数据深度挖掘参保及待遇领取情况，结合 “其他”“尚未调查”“人户分离无法调查” 等不同状态，为社保中心掌握调查进展、推进参保扩面、完善保障政策提供全景式数据支撑。</t>
  </si>
  <si>
    <t>320</t>
  </si>
  <si>
    <t>社保公共-社保分中心多项业务经办情况统计</t>
  </si>
  <si>
    <t>以 “区县” 为地域分类依据，涵盖五大业务板块：在业务经办工作量方面，通过 “当月业务事项申请总量”“当年累计业务事项申请总量”“当月业务事项办结总量”“当年累计业务事项办结总量”，直观展现各区县业务申请与办结规模及趋势；城镇基本养老保险跨省转移业务中，“当年办理人数”“当年转入”“当年转出” 数据，清晰呈现养老保险跨省转移的人员流向；工伤待遇办理业务以 “当月享受待遇人数”“当期累计享受待遇人数”，反映工伤保障覆盖情况；工程建设项目缴费业务借助 “当月缴费项目数”“当月实缴金额”“当年累计项目数”“当年累计金额”，呈现项目缴费动态；企业退休一件事业务则用 “当月办理退休”“当年累计办理退休”，展示退休业务办理进程。这些数据相互补充，为社保中心全面掌握各分中心业务状况、优化资源配置、提升服务效能提供了详实的数据支撑 。</t>
  </si>
  <si>
    <t>321</t>
  </si>
  <si>
    <t>社保公共-社保业务分类办理情况统计</t>
  </si>
  <si>
    <t>以 “模块”“模块名称”“事项名称” 为基础，清晰界定 CA 自助经办事项分类，结合 “事项申请”“事项办结” 数据，直观展现线上自助业务的办理规模与进度；“当年转入”“当年转出” 聚焦城镇基本养老保险关系跨省转移业务，精准反映人员流动下的养老保险转移动态；通过 “区县” 划分地域范围，搭配 “当月办理退休”“当年累计办理退休” 数据，完整呈现各区域退休业务的办理情况。这些数据相互交织，帮助社保中心全面掌握业务办理全貌，为优化服务流程、调配资源、制定政策提供有力的数据依据。</t>
  </si>
  <si>
    <t>322</t>
  </si>
  <si>
    <t>社保公共-一网通办事项柜面办理量统计</t>
  </si>
  <si>
    <t>以 “区县” 为地域划分依据，可对比不同区域的业务办理规模；“事项名称” 与 “事项代码” 精准定位具体业务类型，方便梳理各业务办理热度；“办理数量” 直观呈现业务办理量，而原 “半月报” 数据可用于分析业务办理的时间周期特征。通过整合这些数据，能够全面展示各区县不同一网通办事项的柜面办理动态，为社保中心优化服务资源配置、评估业务办理效率、推动一网通办工作提质增效提供有力的数据支撑。</t>
  </si>
  <si>
    <t>323</t>
  </si>
  <si>
    <t>社保公共-社保咨询与业务工作量统计</t>
  </si>
  <si>
    <t>在咨询业务上，“咨询量” 这一指标从每日和整体咨询情况进行呈现，能反映出咨询业务的数量变化趋势，帮助社保中心了解群众咨询热度。地域维度上，通过 “区县” 划分，可对比各区域的业务数据。业务工作量方面，区分了即时办理类业务工作量、非即时办理类业务工作量、社区业务工作总量、分中心业务工作总量、业务总量、社区业务工作量所占总量的比例等指标，全面展示了不同类型业务的工作量情况，以及社区业务在整体业务中的占比。从接待量来看，“日期” 和 “区县” 结合，能分析出各区县不同日期的接待情况，了解业务高峰时段和各区域接待能力。这些数据综合起来，为社保中心优化业务流程、合理配置资源、提升服务质量等提供了多维度的数据支撑，有助于社保中心更好地规划工作安排和提升工作效率。</t>
  </si>
  <si>
    <t>324</t>
  </si>
  <si>
    <t>基础信息管理-单位、个人基础信息修改相关事项适配改造</t>
  </si>
  <si>
    <t>单位基本信息修改，单位信息修改，个人信息初始化，个人关键信息修改(公共)，个人户籍信息修改，个人基本信息维护</t>
  </si>
  <si>
    <t>325</t>
  </si>
  <si>
    <t>档案管理-居保档案事项适配改造</t>
  </si>
  <si>
    <t>档案编目（居保），档案查询利用（居保），档案处置（居保），居保档案单据补打印，居保档案调整，居保档案归档，居保档案维护，居保档案整理调整,备考表维护（居保）</t>
  </si>
  <si>
    <t>326</t>
  </si>
  <si>
    <t>档案管理-社保档案事项适配改造</t>
  </si>
  <si>
    <t>档案编目（社保），档案处置（社保）,社保档案单据补打印,社保档案调整,社保档案调整查询,社保档案归档,社保档案维护,社保归档信息查询,备考表维护（社保）</t>
  </si>
  <si>
    <t>327</t>
  </si>
  <si>
    <t>档案管理-劳鉴档案事项适配改造</t>
  </si>
  <si>
    <t>劳鉴档案归档,劳鉴归档维护,劳鉴归档信息查询</t>
  </si>
  <si>
    <t>328</t>
  </si>
  <si>
    <t>档案管理-社保档案情况分类分析统计</t>
  </si>
  <si>
    <t>在地域维度，以 “区县” 为分类基准，通过 “生成档案数量”“已归档成功数量”“办结业务数量” 三项指标，直观展现各区县社保档案工作的整体规模、归档成效与业务办结进度，便于对比分析区域间档案管理水平差异。在业务事项维度，以 “项目名称”“项目 ID” 明确具体业务，结合 “四性检测不通过数量”（档案的完整性、准确性、系统性、安全性检测未达标数量）和 “未推送档案数量”，精准定位各业务在档案管理环节存在的问题，帮助社保中心全面掌握档案管理现状，为优化档案管理流程、提升工作效率、针对性解决业务问题提供详实的数据支撑。</t>
  </si>
  <si>
    <t>329</t>
  </si>
  <si>
    <t>财务管理-城乡居保财务适配改造</t>
  </si>
  <si>
    <t>报表生成,编制凭证（收付款）,编制凭证（转账）,处理转移收入,多支出退款零星处理,国库入库记账,跨省市转移支出台账查询,列表式生成,凭证删除,社保待遇（资金）零星支付,支付不成功台账维护,转移资金处理,居保应退还资金台账查询,居民养老税务征缴收入电子对账</t>
  </si>
  <si>
    <t>330</t>
  </si>
  <si>
    <t>财务管理-工伤保险财务适配改造</t>
  </si>
  <si>
    <t>报表生成,编制凭证（收付款）,编制凭证（转账）,国库入库记账,列表式生成,凭证删除,社保待遇（资金）零星支付,支付不成功台账维护,工伤职业伤害待遇支付查询，职业伤害保险资金结算，职业伤害应退还台账管理，职业伤害支付信息交换</t>
  </si>
  <si>
    <t>331</t>
  </si>
  <si>
    <t>财务管理-职保财务适配改造</t>
  </si>
  <si>
    <t>社保待遇批量支付（数据），社保待遇批量支付（资金）,社保待遇社银支付,按月征缴,当场缴费（区级）,集团账户划转,缴纳信息查询（单位，个人）,特殊征缴,征缴信息确认,职保应退还资金台账查询</t>
  </si>
  <si>
    <t>332</t>
  </si>
  <si>
    <t>财务管理-部基金财务中心对接改造</t>
  </si>
  <si>
    <t>生成部中台接口定时任务,生成部中台接口定时任务,外管基金财务报表生成,先行支付核销,险种间资金划转,应退还接口,应退还资金待遇抵扣确认,支付不成功台账查询,支付不成功台账管理,支付及代扣信息查询</t>
  </si>
  <si>
    <t>333</t>
  </si>
  <si>
    <t>财务管理-失业保险财务适配改造</t>
  </si>
  <si>
    <t>编制凭证（收付款）,编制凭证（转账），国库入库记账，凭证删除，失保待遇补贴零星支付，失保待遇补贴批量支付，失保待遇补贴批量支付不成功处理,失保待遇补贴社银支付,失保待遇补贴退款,支付不成功台账维护,转移收入资金确认</t>
  </si>
  <si>
    <t>334</t>
  </si>
  <si>
    <t>财务管理-当月工伤保险社保费收缴情况统计</t>
  </si>
  <si>
    <t>在地域维度，以区县为单位，统计当月成批结算、按项目参保、当场结算的社保费金额，以及当月回收当年和历年历月欠费情况，便于掌握各区县工伤保险费收缴的进度与历史欠费清理状况；在企业类型维度，区分不同企业类型，同样统计上述各类收缴数据，能够清晰展现不同企业类型在工伤保险缴费上的特点，以及欠费回收情况。这些数据为社保中心监控工伤保险费收缴动态、分析收缴结构、制定催缴策略提供了全面的信息支撑。</t>
  </si>
  <si>
    <t>335</t>
  </si>
  <si>
    <t>财务管理-工伤保险历史欠费清欠情况统计</t>
  </si>
  <si>
    <t>一方面，通过 “清欠历年社会保险费” 数据，直观展现各区县在工伤保险历史欠费追缴工作中的成果；另一方面，“欠缴社会保险费” 指标则清晰呈现当前仍存在的欠费规模。两项数据相互对照，既能反映清欠工作的推进进度，也能明确后续清欠工作的重点区域与任务量，为社保中心精准施策、优化清欠策略、保障工伤保险基金应收尽收提供有力的数据支持 。</t>
  </si>
  <si>
    <t>336</t>
  </si>
  <si>
    <t>财务管理-城镇职工基本养老保险参保及基金管理情况统计</t>
  </si>
  <si>
    <t>参保人员维度，记录项目类别、参保职工数量、缴费人员情况，还包含较上月的人数增减变化，清晰展现参保规模的动态；基金缴拨方面，涵盖缴费基数总额、单位与个人的本期缴费及实缴金额，以及本期应发养老金数据，反映基金收支状况；个人账户记账层面，统计建账人数、期初累计记账余额等信息，呈现个人账户的资金积累情况。这些数据多方位反映城镇职工基本养老保险的运行状况，为政策调整、基金管理、参保服务优化提供直观的数据支持。</t>
  </si>
  <si>
    <t>337</t>
  </si>
  <si>
    <t>财务管理-企业养老保险历史欠费清欠情况统计</t>
  </si>
  <si>
    <t>从清欠成果与现存欠费两个核心方面进行数据呈现。“清欠历年社会保险费” 记录了各区县在企业养老保险历史欠费追缴上的实际成效，直观体现不同区县在清欠工作中的推进力度和阶段性成果；“欠缴社会保险费” 则清晰展示了各区县当前仍存在的欠费金额，明确后续清欠工作的重点区域和任务规模。这些数据能帮助社保中心精准掌握各区县企业养老保险历史欠费状况，为科学制定清欠策略、合理调配清欠资源、监督各区县清欠进度提供有力的数据支持，助力企业养老保险历史欠费清欠工作顺利推进，保障企业养老保险基金的稳定与安全 。</t>
  </si>
  <si>
    <t>338</t>
  </si>
  <si>
    <t>财务管理-机关养老保险历史欠费清欠情况统计</t>
  </si>
  <si>
    <t>通过 “清欠历年社会保险费” 数据，能清晰看到各机关单位类型在追缴历史欠费方面的工作成效，反映出不同单位对清欠工作的推进力度和阶段性成果。而 “欠缴社会保险费” 这一指标，则直观呈现各单位类型目前仍遗留的欠费金额，明确了后续清欠工作的重点和难点所在。这些数据有助于社保中心全面了解各机关单位类型在机关养老保险缴费上的历史遗留问题，为制定针对性的清欠策略、合理分配清欠资源、监督清欠工作进度提供关键的数据支撑，进而推动机关养老保险历史欠费清欠工作高效、有序开展，保障机关养老保险基金的稳定运行 。</t>
  </si>
  <si>
    <t>339</t>
  </si>
  <si>
    <t>财务管理-当月机关养老保险社保费收缴情况统计</t>
  </si>
  <si>
    <t>险种上，涵盖机关养老保险与企业养老保险两大类别；地域维度以区县为单位，统计当月成批结算、按项目参保、当场结算的社保费金额，以及当月回收当年和历年历月欠费数据，直观展现各区县不同险种社保费收缴进度与欠费清理状况。企业类型维度下，区分不同企业类型，同样记录上述各类收缴数据，可分析不同企业在两类养老保险缴费上的特点及欠费回收差异。这些数据为社保中心统筹管理不同险种社保费收缴、制定针对性催缴策略、优化资源分配提供了详实全面的信息支持。</t>
  </si>
  <si>
    <t>340</t>
  </si>
  <si>
    <t>财务管理-当月企业养老保险社保费收缴情况统计</t>
  </si>
  <si>
    <t>地域维度上，以区县为统计单位，详细记录当月成批结算、按项目参保、当场结算的社保费金额，以及当月回收当年历月欠费和历年历月欠费的数据，能直观反映各区县失业保险费的收缴进度和欠费追缴情况；企业类型维度下，区分不同企业类型，统计各类收缴金额，有助于分析不同企业在失业保险缴费上的差异，以及对历史欠费的清理状况。这些数据为社保中心全面掌握失业保险费收缴动态、优化征管策略、确保基金稳定提供了详实的数据支撑。</t>
  </si>
  <si>
    <t>341</t>
  </si>
  <si>
    <t>财务管理-失业保险历史欠费清欠情况统计</t>
  </si>
  <si>
    <t>聚焦清欠金额和欠费金额两大核心数据。“清欠历年社会保险费” 直观呈现各区县在失业保险历史欠费追缴方面取得的成果，反映出不同区县清欠工作的推进程度；“欠缴社会保险费” 清晰展示各区县现存的欠费状况，明确后续清欠工作的重点区域和任务量。通过对这些数据的分析，社保中心能够全面掌握各区县失业保险历史欠费情况，为合理规划清欠工作、制定针对性清欠策略、评估清欠效果提供有力的数据支撑，进而保障失业保险基金的应收尽收和正常运转。</t>
  </si>
  <si>
    <t>342</t>
  </si>
  <si>
    <t>财务管理-失业保险基金缴拨情况统计</t>
  </si>
  <si>
    <t>以 “项目” 作为分类依据，数据涵盖缴费人数平均数，直观体现参与缴费的平均规模；缴费基数总额反映计算缴费的工资总额基准；本期单位实缴与个人实缴、本期单位缴费和个人缴费，清晰展示单位和个人在基金缴拨中的具体贡献数值。这些数据相互配合，能让社保中心全面掌握失业保险基金的来源构成、缴费规模和动态变化，为精准核算基金收入、评估基金可持续性、制定合理的征缴政策以及优化基金管理提供坚实的数据支撑 。</t>
  </si>
  <si>
    <t>343</t>
  </si>
  <si>
    <t>财务管理-社会保险基金预决算参数统计</t>
  </si>
  <si>
    <t>以 “月份” 为时间维度，可观察基金参数随时间的变化趋势；通过 “项目” 分类，涵盖机关事业、工伤保险等不同险种的具体参数内容；“单位” 明确数据计量标准，确保数据的准确性与可比性；“类型” 则进一步细化区分，为基金预决算工作提供更精准的分类信息。这些数据整合后，能帮助社保中心全面掌握各类社会保险基金在不同时间、不同险种、不同计量单位下的参数情况，为科学编制基金预决算、合理规划基金收支、优化基金管理策略提供关键数据支撑，助力提升社保基金管理的规范性与科学性。</t>
  </si>
  <si>
    <t>344</t>
  </si>
  <si>
    <t>财务管理-各险种欠缴及病残津贴情况统计</t>
  </si>
  <si>
    <t>在险种欠缴部分，以 “企业类型” 为分类依据，涵盖 “期末养老保险费欠缴余额”“当年累计清欠养老保险费金额” 等 7 项数据，清晰呈现不同企业类型养老保险的欠费规模、清欠进度等情况，有助于社保中心掌握欠费动态，制定针对性清欠策略；在养老保险病残津贴方面，通过 “项目” 界定业务内容，搭配 “办理待遇申领”“办理待遇停发”“待遇发放” 三项指标，详细记录病残津贴业务的申请、停发和发放情况，能帮助社保中心了解该业务的办理流程与资金发放状态，从而优化服务流程，保障参保人员权益，为社保基金管理和政策调整提供数据支撑。</t>
  </si>
  <si>
    <t>345</t>
  </si>
  <si>
    <t>财务管理-上海市城镇职工养老、失业、工伤保险费征收与欠费综合统计</t>
  </si>
  <si>
    <t>在险种维度，涵盖养老保险、失业保险、工伤保险，能够对不同险种的费用征缴情况进行对比分析；以甲、乙两种报表类型为区分，可能存在数据来源、统计口径或侧重点的差异；在关键数据指标上，均包含当月应缴金额、当月实缴金额、当月还欠缴金额，通过这三项数据，可以直观呈现每月社保费用在计划缴纳、实际缴纳和欠费状态的具体数值，清晰反映各险种费用征缴进度、缴费完成度以及欠费规模。这些数据有助于社保中心实时监控社保基金收入状况，精准定位欠费问题，为调整征缴策略、保障基金稳定、优化社保政策提供有力的数据支撑 。</t>
  </si>
  <si>
    <t>346</t>
  </si>
  <si>
    <t>财务管理-上海市城镇职工五险征收情况分类统计</t>
  </si>
  <si>
    <t>在征收险种维度，涵盖基本五险与基本养老保险，能够分别对比不同险种的征收状况；从统计分类来看，区分 “区县” 和 “经济类型”，前者可分析各区域社保征收规模、进度与征缴率差异，助力政策精准落地，后者通过企业类型分类，掌握不同性质企业在社保缴纳上的表现，为优化企业社保服务提供依据。数据指标方面，包含应征收社会保险费、当场结算征收社会保险费、实征收社会保险费、欠缴社会保险费、征缴率，从应收金额、实际征收金额到欠费情况及征缴效率，完整呈现社保征收动态，帮助社保中心全面把控基金收入情况，及时发现征收薄弱环节，优化征缴策略，保障社保基金稳定运行。</t>
  </si>
  <si>
    <t>347</t>
  </si>
  <si>
    <t>财务管理-上海市城镇职工社会保险费清欠情况综合统计</t>
  </si>
  <si>
    <t>在地域分类上，包含 “区县”，体现不同区域清欠状况；企业维度上，有 “企业类型”，反映不同性质企业的清欠表现；另有 “数额区间”，对清欠金额进行分类统计。数据指标方面，“清欠当年社会保险费” 明确当年清欠数额，“清欠历年社会保险费” 呈现对以往欠费的清理情况，“欠缴社会保险费” 展示当前欠费数额。通过这些数据，能全面呈现各区县、不同企业类型的社会保险费清欠工作进展，涵盖当年及历年清欠情况和剩余欠费情况，为社保中心评估清欠效果、制定清欠策略、加强社保基金管理提供有力的数据支持，有助于优化清欠工作流程、提高清欠效率。</t>
  </si>
  <si>
    <t>348</t>
  </si>
  <si>
    <t>风险控制-就业资金风险控制管理</t>
  </si>
  <si>
    <t>对就业资金风险预警项目进行新增。就业资金风险预警项目内容修改和有效标志修改。区级/市级进行疑似风险管理的业务操作，包含录入、审核。对就业资金风险预警建立的风险控制项目进行数据生成。</t>
  </si>
  <si>
    <t>349</t>
  </si>
  <si>
    <t>风险控制-居保风控预警管理</t>
  </si>
  <si>
    <t>市级经办人员对城乡居保核查项目进行新增、修改操作。区级经办人员只可进行核查比例的修改。对居保风控项目维护中的风险控制项目进行数据生成并核查。对风险大的、系统无法设置卡口的业务变更建立事后监控预警机制，由市中心统一设置上述业务变更预警阀值，预警阀值可根据业务经办实际由市中心统一维护。对居保风控预警项目维护中的预警项目进行数据生成并核查。查询预警生成风险数据和核查预警结果。对预警核查数据进行统一查询。对居保支付进行风险预警生成数据并核查。</t>
  </si>
  <si>
    <t>350</t>
  </si>
  <si>
    <t>风险控制-社保稽核业务情况统计</t>
  </si>
  <si>
    <t>在案件处理的整体情况上，以区县为单位，呈现稽核案件的受理、立案、结案状况，可直观了解各区县稽核工作进度与成效；在业务分类方面，区分待遇类和缴费类稽核业务，通过项目信息与当年处理案件情况，清晰展现两类稽核业务的开展规模和处理成果。这些数据相互补充，为社保中心全面掌握稽核业务动态、分析案件处理规律、优化稽核资源配置、完善监管机制提供了系统的数据支撑，助力提升社保稽核工作的精准性和有效性。</t>
  </si>
  <si>
    <t>351</t>
  </si>
  <si>
    <t>风险控制-职保业务规则校验情况统计</t>
  </si>
  <si>
    <t>以区县为单位，包含校验总量、批量校验通过总量、规则触发总量、待处理数量、占比、已处理（正确）、已处理（重新校验通过）、已处理（事项已撤销）等信息，展示各区职保业务日校验基本情况；按事项统计，有事项名称、事项办结量、批量校验通过总量、规则触发量等指标，反映全市、直属部、市中心不同区域按事项的校验状况；按规则和事项统计，通过规则名称、规则描述、事项名称、规则触发量等数据，深入分析不同规则对不同事项的触发及处理情况。这些数据相互补充，能帮助社保中心全面掌握职保业务的校验情况，及时发现问题，优化业务流程，提高社保服务质量和管理效率。</t>
  </si>
  <si>
    <t>352</t>
  </si>
  <si>
    <t>风险控制-各类缴保企业户数和人数监测情况统计</t>
  </si>
  <si>
    <t>通过 “分类” 维度，对不同类型企业进行区分，无论是涵盖各类企业的 “社保企业 001” 表，还是专注小微企业的 “社保企业 002” 表，都以 “应缴保单位户数” 呈现各类企业数量规模，以 “应缴社保人数” 反映企业参保人员总量。这些数据能够帮助社保中心清晰掌握不同规模企业的参保状况，便于分析企业参保覆盖率、人员参保结构，为制定针对性社保政策、优化服务资源配置、确保社保基金应收尽收提供有力的数据支撑。</t>
  </si>
  <si>
    <t>353</t>
  </si>
  <si>
    <t>风险控制-业务管控规则触发情况统计</t>
  </si>
  <si>
    <t>在统计范围上，涵盖市级、市中心、市直中心等不同层级机构，且区分当月与当年累计两个时间维度；在数据内容方面，包含触发规则、触发规则名称、触发总量、确认办理数量、终止办理数量、未处理数量、对应业务事项名称及数量、该业务事项当月涉及总变更量（已办结业务）等指标。通过这些数据，可直观呈现不同机构在不同时段内，各管控规则的触发频率、业务处理进度，以及与业务事项变更量的关联，帮助社保中心精准定位高频触发规则、积压业务，为优化管控规则、调整业务流程、提升经办效率提供有力的数据支撑。</t>
  </si>
  <si>
    <t>354</t>
  </si>
  <si>
    <t>决策分析-数字人社驾驶舱</t>
  </si>
  <si>
    <t>直观呈现就业培训的开展情况、参与人数及培训成果，清晰展示社会保障覆盖范围、参保数据及政策动态；实时更新新增登记失业人员数量、分布及帮扶进度，同步发布新增就业岗位的行业分布、岗位数量及匹配动态。同时，主屏嵌入中间人社地图指标，通过地理信息系统直观展示就业、社保等数据的区域分布，支持用户点击地图交互查看详细数据，助力政府部门精准决策，为市民提供便捷、高效的人社信息服务，实现人社数据的集中展示与深度分析。</t>
  </si>
  <si>
    <t>355</t>
  </si>
  <si>
    <t>决策分析-就业情况</t>
  </si>
  <si>
    <t>就业培训屏专注就业情况分析，通过实时数据接口呈现求职、招聘等最新动态；运用地图可视化展示区域就业指标，支持交互查看详情。同时，直观展示年度目标完成率、重点群体就业率等主要就业指标，以图表对比计划与实际数据；更新失业保险基金收支、结余等运行数据，分析趋势并预警风险，为就业决策提供数据支撑。</t>
  </si>
  <si>
    <t>356</t>
  </si>
  <si>
    <t>决策分析-创业帮扶培训情况</t>
  </si>
  <si>
    <t>聚焦创业帮扶培训情况，全方位展示就业动态。屏幕通过弹窗形式，实时呈现城镇调查失业率，直观反映就业市场宏观状况；重点展示创业扶持政策落实成果、促进就业的实际成效及离校未就业毕业生登记总人数。同时，系统呈现培训评价数据，新增高技能人才、技能人才高级及以上、技能人才评价情况三大弹窗，多视角呈现人才培养成果，为政策优化、资源调配提供精准数据支撑，推动创业帮扶与就业培训工作高效开展。</t>
  </si>
  <si>
    <t>357</t>
  </si>
  <si>
    <t>决策分析-工伤及鉴定</t>
  </si>
  <si>
    <t>聚焦工伤及鉴定业务，动态展示工伤保险全流程数据。通过可视化图表呈现工伤保险参保人数、覆盖率等基本信息及年度趋势变化，同时，系统展示工伤认定案件总量、办结率及劳动能力鉴定分级结果（如伤残等级分布）。</t>
  </si>
  <si>
    <t>358</t>
  </si>
  <si>
    <t>决策分析-养老保险</t>
  </si>
  <si>
    <t>聚焦养老保险业务，多维度呈现数据全景。系统剖析三大支柱人员覆盖与资金投入，直观展示养老保险参保规模、结构及动态变化；实时更新基金收支数据，结合历史趋势分析收支平衡状况。通过可视化图表呈现参保趋势、平均缴费水平及参保人员年龄分布，精准定位人群特征。同时，深度展现城乡居民养老保险与征地养老保险基本信息，分析参保趋势与政策影响，为政策优化、资源配置及风险防控提供数据支撑，助力构建高效养老保险服务体系。</t>
  </si>
  <si>
    <t>359</t>
  </si>
  <si>
    <t>决策分析-基金监控</t>
  </si>
  <si>
    <t>聚焦基金动态监管，全方位构建基金风险防控体系。针对企业养老保险，基于历史数据与精算模型，精准预测未来十年收支趋势，实时触发平衡风险预警，为政策调整预留决策空间；同步展示失业保险基金实时收支数据，剖析资金流动规律。系统整合退休人员养老金发放规模、结构及增长态势，保障待遇支付透明化，实现五项社会保险基金协同监控。</t>
  </si>
  <si>
    <t>360</t>
  </si>
  <si>
    <t>决策分析-城乡居保</t>
  </si>
  <si>
    <t>通过多维度图表呈现缴费水平情况，涵盖不同档次缴费人数占比、区域缴费差异对比，直观反映参保居民缴费特征；展示征地基本信息及趋势，包含征地参保人数变化等，助力把握政策实施成效。</t>
  </si>
  <si>
    <t>361</t>
  </si>
  <si>
    <t>服务接口-大数据中心数据交换类接口适配改造</t>
  </si>
  <si>
    <t>建交委数据交换，获取个人当前参保情况外部数据只读交换，查询六十月缴费证明数据交换接口外部数据只读交换，社保信息共享</t>
  </si>
  <si>
    <t>362</t>
  </si>
  <si>
    <t>服务接口-比对类接口适配改造</t>
  </si>
  <si>
    <t>本市户籍人员门急诊信息资格认证每日信息比对，非本市户籍人员临期三个月人员门急诊信息资格认证每日信息比对，每日比对更新资格认证通用字段（如AAZ257，区县，状态等），超期人员资格认证每日信息比对，协助认证信息资格认证每日信息比对，临期一个月人员国家人口库死亡信息比对，部平台人员资格认证每日信息比对（除出行数据），资格认证人员操作事项每日信息比对，资格认证死亡数据每日信息比对，资格认证医保数据信息比对，按范围上传需比对国家人口库数据并进行信息比对，按范围上传需比对本地人口库数据，本地人口库数据信息比对，部平台人员资格认证每日信息比对（出行数据）,四类人员年度待遇定期比对，身故一件事信息比对，就业资金每天比对更新数据状态</t>
  </si>
  <si>
    <t>363</t>
  </si>
  <si>
    <t>服务接口-台账类接口适配改造</t>
  </si>
  <si>
    <t>本地数据上传及下载事项系统办理，养老金制证月处理,单位参保登记,简易注销单位定时任务,歇业“一口受理”平台推送给社保数据项申请单位暂停结算,退工和停止缴费登记业务台账处理,就业参保登记业务台账处理，重残人员，贫困人员，残疾人信息</t>
  </si>
  <si>
    <t>364</t>
  </si>
  <si>
    <t>服务接口-部级数据获取任务适配改造</t>
  </si>
  <si>
    <t>将历史存量数据和部平台进行数据交互,处理机关事业工作人员基本养老保险关系转入,机关事业工作人员基本养老保险关系跨省转入,军人退役养老保险关系转移接续(总对总),机关事业工作人员基本养老保险关系跨省转出，军人总对总转移事项撤销</t>
  </si>
  <si>
    <t>365</t>
  </si>
  <si>
    <t>服务接口-一网通办单位、个人查询服务适配改造</t>
  </si>
  <si>
    <t>工伤保险个人年度权益单,企业参保及欠费数据实时查询接口,单位职工参保情况实时查询接口，城镇职工缴费情况查询，城镇职工养老金情况查询，缴费信息查询接口，养老信息接口，养老金领取电子证照（一网通办）制证，城乡居民基本养老保险登记数据查询接口，个人参保信息，个人缴费情况，个人缴费基数，个人城乡居保缴费情况，个人享受城乡居保养老金情况，个人上年度城乡居保养老保险权益记录单情况，个人城乡居保权益，个人享受城镇基本养老金情况</t>
  </si>
  <si>
    <t>366</t>
  </si>
  <si>
    <t>服务接口-税务共享任务适配改造</t>
  </si>
  <si>
    <t>税务缴费基数调整台账补处理年金，税务退费确认，税务退费再支付确认，缴费记账回盘，支付记账回盘，居保待办信息</t>
  </si>
  <si>
    <t>367</t>
  </si>
  <si>
    <t>服务接口-预警数据生成获取服务适配改造</t>
  </si>
  <si>
    <t>就业困难人员身份预警按月数据获取，离校未就业高校毕业生灵活就业社会保险补贴预警按天数据获取，居保风控按天获取预警数据，“元旦、春节”期间家庭生活困难失业人员一次性补助预警按月数据获取，培训补贴预警按月数据获取，初创期创业组织创业场地房租补贴预警按月数据获取，失业保险金预警按月数据获取，大龄就困人员灵活就业岗位补贴预警按天数据获取，协保人员就业岗位补贴预警按天数据获取，“元旦、春节”期间家庭生活困难失业人员一次性补助预警按天数据获取，社保风控预警数据获取每天，失业保险金预警按天数据获取，离校未就业高校毕业生灵活就业社会保险补贴预警按月数据获取，公益性岗位补贴和社保费补贴预警按月数据获取，本市用人单位新招用高校毕业生社会保险补贴预警按月数据获取，初创期创业组织社会保险补贴预警按月数据获取，培训补贴预警按周数据获取，基金风控预警数据获取，协保人员就业岗位补贴预警按月数据获取，一次性吸纳重点群体就业补贴预警按天数据获取，用人单位吸纳就业困难人员岗位补贴和社会保险费补贴预警按天数据获取，对受疫情影响较大的困难行业企业给予稳就业补贴预警按天数据获取，用人单位吸纳就业困难人员岗位补贴和社会保险费补贴预警按月数据获取，基金风控根据居保风控预警信息回填定时任务，职业伤害风控预警按天获取数据，初创期创业组织创业场地房租补贴预警按天数据获取，“就业困难人员”灵活就业社保险费补贴预警按天数据获取，一次性扩岗补助预警按月数据获取，一次性吸纳重点群体就业补贴预警按月数据获取，居保风控预警按月获取数据，失业补助金预警按天获取数据，公益性岗位补贴和社保费补贴预警按天数据获取，“就业困难人员”灵活就业社保险费补贴预警按月数据获取，社保风控监测预警数据获取，培训补贴预警按天数据获取，价格临时补贴预警按月数据获取，失业补助金预警按月获取数据，职业伤害风控预警按月获取数据，大龄就困人员灵活就业岗位补贴预警按月数据获取，价格临时补贴预警按天数据获取，对受疫情影响较大的困难行业企业给予稳就业补贴预警按月数据获取，就业资金风险控制预警数据获取业务原始数据，重点项目清单预警数据获取</t>
  </si>
  <si>
    <t>2、上海市劳动关系智慧预警系统（一期）</t>
  </si>
  <si>
    <t>劳动关系矛盾风险预警管理-风险预警因子识别管理</t>
  </si>
  <si>
    <t>劳动关系矛盾风险预警因子是指可能引发或加剧劳动关系矛盾的指标，是劳动关系风险矛盾预警模型的重要组成部分。风险预警因子识别管理包括因子的初始配置、修改、删除、启用、停用、审核、版本管理等动态维护功能，以及对因子的查询统计。
因子包括因子类型、因子名称、因子编码、因子说明、业务口径、更新周期、数据来源、管理人员等信息。因子类型根据业务来源分类，分成企业经营状态风险类、企业参保业务风险类、企业用工情况风险类、企业调解仲裁风险类、企业监察执法业务风险类、企业诚信情况业务风险类、企业重大事件业务风险类、网络舆情危机业务风险类等。
因子的查询统计支持按因子类型、版本、更新周期等多维度的统计，并能展示因子的详情</t>
  </si>
  <si>
    <t>劳动关系矛盾风险预警管理-风险预警规则配置管理</t>
  </si>
  <si>
    <t>风险预警规则主要是针对劳动关系矛盾风险因子设置风险预警规则，用于量化风险评估，提升预警精准度。一个风险预警规则可包括多个风险因子，风险预警规则配置管理包括对规则基本信息的统一管理，规则算法的管理，阈值控制管理。
提供风险预警规则的创建、修改、删除、启用、停用、审核、版本管理等动态维护功能，以及对规则的查询统计。规则基本信息包括预警规则名称、预警规则类型、规则说明、关联因子、因子阈值等信息，便于清晰明确的展示该风险因子的规则说明。
提供规则的实现方式(服务接口、SQL语句、模型)、执行策略、结果数据展示的配置管理。</t>
  </si>
  <si>
    <t>劳动关系矛盾风险预警管理-风险预警模型配置管理</t>
  </si>
  <si>
    <t>实现劳动关系矛盾风险预警模型的统一管理。风险预警模型可以整合多个预警规则，每个预警规则可包含多个风险因子，通过特定的评估评分标准来综合评估劳动关系矛盾风险水平，并输出风险评分、风险等级，最终决定是否触发预警以及预警的级别。
风险预警模型管理包括预警模型创建、修改、删除、启用、停用、审核、版本管理等动态维护功能，以及对模型的查询统计。风险预警模型包括模型名称、模型类型、模型说明、关联预警规则、因子阈值、权重、风险系数等信息。
功能支持关联预警规则，设置预警规则关联因子在模型中的权重，因子阈值区间得分。
并支持基于不同预警场景选择系数因子，量化系数因子在整体评估中的影响权重，例如企业人数越多因其社会影响广泛，通常配置更高系数数值。
风险模型评估评分算法=Σ(因子值×权重)×系数。
计算风险评估评分结果，根据计算结果阈值区间设置多级预警。支持设定明确的评分触发机制，当预警模型运行生成的风险评分值超过预设基准线时，自动触发对应等级预警。</t>
  </si>
  <si>
    <t>劳动关系矛盾风险预警管理-风险预警执行任务管理</t>
  </si>
  <si>
    <t>对风险预警执行任务计划进行配置，设置执行方式、执行时间、执行频次、执行的数据范围、执行状态、预警阈值以及每个任务关联的规则等，实现对各类风险预警模型全自动定时执行，定期生成预警结果。支撑按小时、按天、按月执行风险预警任务。也实现各类风险因子值的自动计算。
同时，每个预警模型需制定预警的频率，针对高等级的预警规则预警频率相应需要提升，如最高级别预警因子按日更新，低级别的预警因子可以最大到按月更新。</t>
  </si>
  <si>
    <t>劳动关系矛盾风险预警管理-风险预警执行任务监控</t>
  </si>
  <si>
    <t>支持对预警体系运行状态的实时监测、异常追踪与深度分析，确保业务稳定运行与风险可控；支持全量记录系统预警操作日志、预警事件、异常错误等数据，支持结构化存储与高效检索；支持时间轴回溯，查看自定义时间段内预警任务自动执行情况、预警任务执行异常状态，辅助问题排查与复盘。</t>
  </si>
  <si>
    <t>劳动关系矛盾风险预警管理-企业大规模减员风险预警模型</t>
  </si>
  <si>
    <t>该模型通过识别重点关注企业范围内因发生非正常批量减员或员工集中离职可能产生的劳动矛盾争议风险，从而提前介入预防大规模矛盾风险。模型构建方法：
1、识别风险预警因子。基于人社内部的社保业务数据、就业数据，识别社保参保人数变化率、非主动离职率、社保断缴时长等可能引发的企业大规模减员风险因子，
2、生成风险预警因子数据。获取人社内部的企业社保参保业务数据、社保缴纳数据，进行去重、异常值处理和加工计算生成企业大规模减员风险因子数据；
3、设计预警规则。社保参保人数变化率、非主动离职率、社保断缴时长等风险预警因子设置相应的阈值后组成企业大规模减员风险预警规则。
4、构建风险预警评估模型。根据企业大规模减员风险因子影响程度设计权重，再根据规则阈值设计三级得分，计算各风险因子的评估分值，然后将企业规模做为风险系数，最终形成企业大规模减员风险预警评估分值，并根据业务实际情况设置风险预警评分值对应的预警等级。
5、配置风险预警执行任务：配置大规模企业减员风险预警执行任务，包括任务运行时间、运行频次等信息。基于预设的指标阈值与权重进行自动化计算，可生成初步预警结果。
6、风险预警评估模型评估：执行大规模企业减员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</si>
  <si>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劳动关系矛盾风险预警管理-聚集纠纷风险预警模型</t>
  </si>
  <si>
    <t>该模型识别发生过仲裁、监察立案、企业减员过程中发生程序违规、补偿争议等风险预警，以防止群体性事件发生。模型构建方法如下：
1、识别风险预警因子
基于人社内部的人社内部的投诉举报线索信息、仲裁案件数据、社保参保业务数据、就业用工备案数据，识别可能引发的裁员聚集纠纷风险因子，主要有指标月裁员比例、仲裁案件密度、监察处罚累计、群体投诉增量等。
2、生成风险预警因子数据
获取人社内部的投诉举报线索信息、仲裁案件数据、社保参保业务数据、就业用工备案数据，进行去重、异常值处理后，按月加工计算生成裁员聚集纠纷风险因子数据。
3、设计预警规则
对月裁员比例、仲裁案件密度、监察处罚累计、群体投诉增量等风险预警因子设置阈值后组成裁员聚集纠纷风险规则。
4、风险评估模型构建：
根据裁员聚集纠纷风险因子影响程度设计权重，再根据规则阈值设计三级得分，计算各风险因子的评估分值，然后将企业规模做为风险系数，最终形成裁员聚集纠纷风险预警评估分值，并根据业务实际情况设置风险预警评分值对应的预警等级。
5、配置风险预警执行任务：配置裁员聚集纠纷风险预警执行任务，包括任务运行时间、运行频次等信息。基于预设的指标阈值与权重进行自动化计算，可生成初步预警结果。
6、风险预警评估模型评估：执行裁员聚集纠纷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</si>
  <si>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劳动关系矛盾风险预警管理-行业风险风险预警模型</t>
  </si>
  <si>
    <t>构建行业风险风险预警模型，识别各行业内大批量企业发生欠薪风险，从而提前介入预防大规模矛盾风险。模型构建方法如下：
1、识别风险预警因子
基于人社内部的投诉举报线索数据、仲裁案件数据、社保参保业务数据、就业用工数据，识别可能引发的行业风险风险因子，主要有各行业企业当月爆发裁员案件率同比变化、各行业企业当月爆发裁员案件率环比变化、各行业企业发生裁员矛盾预警率环比、行业企业裁员集中退工退保人数同比变化等。
2、生成风险预警因子数据
获取人社内部的投诉举报线索数据、仲裁案件数据、社保参保业务数据、就业用工数据，进行去重、异常值处理后，按月加工计算生成行业风险风险因子数据。
3、设计预警规则
对各行业企业当月爆发裁员案件率同比变化、各行业企业当月爆发裁员案件率环比变化、各行业企业发生裁员矛盾预警率环比、行业企业裁员集中退工退保人数同比变化等风险预警因子设置阈值后组成行业风险风险规则。
4、风险评估模型构建
根据行业风险风险因子影响程度设计权重，再根据规则阈值设计三级得分，计算各风险因子的评估分值，然后将企业规模做为风险系数，最终形成行业风险风险预警评估分值，并根据业务实际情况设置风险预警评分值对应的预警等级。
5、配置风险预警执行任务：配置行业风险风险预警执行任务，包括任务运行时间、运行频次等信息。基于预设的指标阈值与权重进行自动化计算，可生成初步预警结果。
6、风险预警评估模型评估：执行行业风险风险预警任务，查看预警结果信息。结合业务实际情况验证模型的可靠性和有效性，并根据综合评估结果，调整因子、规则等，直接模型精准度达到业务可接受的范围。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</si>
  <si>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劳动关系矛盾风险预警管理-关联法人风险预警模型</t>
  </si>
  <si>
    <t>该模型通过识别恶意欠薪或经营失信的同一企业法人关联的企业风险，从而提前介入预防关联企业也有相同的矛盾风险。模型构建方法：
1、识别风险预警因子。基于人社内部的投诉举报线索数据、仲裁案件数据、社保参保业务数据、就业用工数据、公安经侦数据，识别可能引发的关联法人风险因子，主要有企业欠薪黑名单记录总数、违法行为记录数、企业月度工资未发放平均次数、企业社保断缴平均月数、企业月度社保断缴人数平均变化率、企业大规模退工预警总数、相关企业投诉量环比变化等。
2、生成风险预警因子数据。获取人社内部的投诉举报线索数据、仲裁案件数据、社保参保业务数据、就业用工数据、公安经侦数据，进行去重、异常值处理和加工计算生成关联法人风险因子数据；
3、设计预警规则。企业欠薪黑名单记录总数、违法行为记录数、企业月度工资未发放平均次数、企业社保断缴平均月数、企业月度社保断缴人数平均变化率、企业大规模退工预警总数、相关企业投诉量环比变化等风险预警因子设置相应的阈值后组成关联法人风险预警规则。
4、构建风险预警评估模型。根据关联法人风险因子影响程度设计权重，再根据规则阈值设计三级得分，计算各风险因子的评估分值，然后将企业规模做为风险系数，最终形成关联法人风险预警评估分值，并根据业务实际情况设置风险预警评分值对应的预警等级。
5、配置风险预警执行任务：配置关联法人风险预警执行任务，包括任务运行时间、运行频次等信息。基于预设的指标阈值与权重进行自动化计算，可生成初步预警结果。
6、风险预警评估模型评估：执行关联法人风险预警任务，查看预警结果信息。结合业务实际情况验证模型的可靠性和有效性，并根据综合评估结果，调整因子、规则等，直接模型精准度达到业务可接受的范围。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</si>
  <si>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劳动关系矛盾风险预警管理-过度维权行为风险预警模型</t>
  </si>
  <si>
    <t>该模型通过识别企业员工非常规讨薪产生的风险，便于有限的矛盾纠纷处置资源更有效地服务于正当维权者。模型构建方法：
1、识别风险预警因子。基于企业员工用工备案的务工轨迹情况、社保情况、投诉咨询涉集体讨薪事件情况、历史投诉举报情况、仲裁、监察立案情况，识别社保状态、社保缴纳基数变化、社保缴纳金额、投诉量、投诉频率、仲裁立案数、监察立案数等可能引发的过度维权行为风险因子，
2、生成风险预警因子数据。获取人社内部的投诉举报内容涉敏感词次数、累计投诉量、月内重复大量投诉、仲裁量、案件量，进行去重、异常值处理和加工计算生成过度维权行为风险因子数据；
3、设计预警规则。投诉举报内容涉敏感词次数、累计投诉量、月内重复大量投诉、仲裁量、案件量等风险预警因子设置相应的阈值后组成过度维权行为风险预警规则。
4、构建风险预警评估模型。根据过度维权行为风险因子影响程度设计权重，再根据规则阈值设计三级得分，计算各风险因子的评估分值，然后将企业规模做为风险系数，最终形成过度维权行为风险预警评估分值，并根据业务实际情况设置风险预警评分值对应的预警等级。
5、配置风险预警执行任务：配置过度维权行为风险预警执行任务，包括任务运行时间、运行频次等信息。基于预设的指标阈值与权重进行自动化计算，可生成初步预警结果。
6、风险预警评估模型评估：执行过度维权行为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</si>
  <si>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劳动关系矛盾风险预警管理-拖欠工资风险预警模型</t>
  </si>
  <si>
    <t>构建拖欠工资风险预警模型，因企业欠薪可能发生矛盾纠纷风险，从而提前介入预防大规模矛盾风险。模型构建方法如下：
1、识别风险预警因子
基于人社内部的企业用工数据、社保参保数据、投诉举报涉及集体讨薪事件数据、历史投诉举报数据、仲裁案件数据、舆情数据、银行工资代发数据，识别可能引发的拖欠工资风险因子，主要有社保欠缴时长、近一年劳动争议案件数、连续工资发放延迟率、被投诉拖欠工资次数、负面舆情量、当月大规模企业退工预警数量、当月关联企业信用风险预警数量等。
2、生成风险预警因子数据
获取企业用工数据、社保数据、投诉咨询涉集体讨薪事件数据、历史投诉举报数据、仲裁、监察立案数据，进行去重、异常值处理后，按月加工计算生成拖欠工资风险因子数据。
3、设计预警规则
对社保欠缴时长、近一年劳动争议案件数、连续工资发放延迟率、被投诉拖欠工资次数、负面舆情量、当月大规模企业退工预警数量、当月关联企业信用风险预警数量等风险预警因子设置阈值后组成拖欠工资风险规则。
4、构建风险预警评估模型。根据拖欠工资风险因子影响程度设计权重，再根据规则阈值设计三级得分，计算各风险因子的评估分值，然后将企业规模做为风险系数，最终形成拖欠工资风险预警评估分值，并根据业务实际情况设置风险预警评分值对应的预警等级。
5、配置风险预警执行任务：配置拖欠工资风险预警执行任务，包括任务运行时间、运行频次等信息。基于预设的指标阈值与权重进行自动化计算，可生成初步预警结果。
6、风险预警评估模型评估：执行拖欠工资风险预警任务，查看预警结果信息。结合业务实际情况验证模型的可靠性和有效性，并根据综合评估结果，调整因子、规则等，直接模型精准度达到业务可接受的范围。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</si>
  <si>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劳动关系矛盾风险预警管理-仲裁人事争议风险预警模型</t>
  </si>
  <si>
    <t>该模型通过识别裁决内容与法律法规及历史判例之间的差异，从而提前介入预防裁决过程中发生仲裁人事争议风险。模型构建方法：
1、识别风险预警因子。基于仲裁知识库数据，识别裁决过程中填写的诉求、证据、法律适用、观点、费用计算方式差异等可能引发的仲裁人事争议风险因子，
2、生成风险预警因子数据。获取人社内部的仲裁数据，进行去重、异常值处理和加工计算生成仲裁人事争议风险因子数据；
3、设计预警规则。诉求、证据、法律适用、观点、费用计算方式相似度等风险预警因子设置相应的阈值后组成仲裁人事争议风险预警规则。
4、构建风险预警评估模型。根据仲裁人事争议风险因子影响程度设计权重，再根据规则阈值设计三级得分，计算各风险因子的评估分值，形成仲裁人事争议风险预警评估分值，并根据业务实际情况设置风险预警评分值对应的预警等级。
5、配置风险预警执行任务：配置仲裁人事争议风险预警执行任务，包括任务运行时间、运行频次等信息。基于预设的指标阈值与权重进行自动化计算，可生成初步预警结果。
6、风险预警评估模型评估：执行仲裁人事争议风险预警任务，查看预警结果信息。结合业务实际情况验证模型的可靠性和有效性，并根据综合评估结果，调整因子、规则等，直接模型精准度达到业务可接受的范围。
7、风险预警评估模型发布：风险预警评估模型经过用户评估后，可以进行发布，包括相关的因子、规则、预警执行任务的启用。系统将按设定周期自动产生预警后，可在预警结果综合展示功能查看预警详细情况。</t>
  </si>
  <si>
    <t>劳动关系矛盾风险预警管理-风险预警处置策略管理</t>
  </si>
  <si>
    <t>针对不同等级的劳动关系矛盾风险预警结果设置相应的处置策略，风险预警的等级不同，对应的处置级别也不同，设置包括处置完成时限设置、处置接收部门设置、预警是否自动合并处置、预警生成后是否自动分发接收对象进行处置、预警生成是否支持自动解除预警等。
支持处置方式的新增、调整、删除。已经执行过的规则处置策略不允许删除，通过有效性标识来管理。
1、处置完成时限设置
对每项处置任务设置相应的处理时限，任务处理人员需在规定的处理时限内完成任务。
同时，将任务分设成三个时限节点：接近处理时限、到达处理时限和超过处理时限。针对不同的时限节点，关联不同类型的的提醒方式，提醒相关人员及时了解未办结任务并第一时间处置任务。
节点1：接近处理时限的，可自动进行任务临期提醒；
节点2：到达处理时限但没有处理完成的任务，可自动进行到期任务督办提醒；
节点3：超过处理时限的任务，自动进行超期任务催办提醒。同时会提高问题的处理级别。
2、预警结果自动分发接收对象的设置
根据触发的风险预警等级、接收的部门把预警结果信息自动生成待办信息，分发给接收对象。</t>
  </si>
  <si>
    <t>劳动关系矛盾风险预警管理-预警模型效果分析及纠偏</t>
  </si>
  <si>
    <t>查看历史追溯体系，可视化操作日志记录各预警模型调整时间轴、调整依据等关键信息；对任意两个时点参数配置的版本差异化比对；对各类预警模型正式运行阶段基于实时数据流实施动态调参。</t>
  </si>
  <si>
    <t>劳动关系矛盾风险预警管理-预警结果综合展示</t>
  </si>
  <si>
    <t>风险预警执行任务根据设定的周期自动运行后，会生成预警数据，这里展示大规模企业减员风险、裁员矛盾纠纷风险、行业风险、关联法人风险、过度维权行为风险、拖欠工资风险及仲裁人事争议风险等风险预警结果，向用户实时展示各类预警触发结果详情。支持通过按企业查询企业产生预警详情、支持按预警时间、预警信息、预警编号快速查询预警结果详情。
企业触发预警支持查看预警信息卡，包含预警名称、触发预警规则、涉及指标数据实际情况、预警对象信息包含企业名称、企业地址、企业社会统一信用代码等便于业务人员快速了解预警整体情况。
行业触发预警支持查看预警信息卡包含预警名称、触发预警规则、涉及指标数据实际情况、预警对象信息包含企业名称、企业地址、企业社会统一信用代码等便于业务人员快速了解预警整体情况。</t>
  </si>
  <si>
    <t>劳动关系矛盾风险预警管理-重点关注企业名单管理</t>
  </si>
  <si>
    <t>支持进行重点关注企业名单的登记导入；市级将对登记导入的待审核名单进行审核、审核通过后系统将对应企业列入重点关注企业名单列表；当监察部门综合实际情况认为某企业不需要重点监管时，可从重点关注企业名单列表中将该企业移出。</t>
  </si>
  <si>
    <t>劳动关系矛盾风险预警管理-线索查重合并</t>
  </si>
  <si>
    <t>为避免重复处置，提升办案效率，对登记入库的线索进行多维度的计算去重，支持线索合并操作。
1、重复比对：将新入库线索数据与历史各渠道线索数据根据查重规则进行比对，查重比对线索规则涉及被投诉单位名称、统一社会信用代码、反映人姓名、反映人电话、反映人身份证、欠薪发生时间、线索类型等信息，再根据规则计算相似度，生成高/中/低重复度与不重复四类结果；同时再与仲裁在办/已办结案件、监察立案在办/已办结案件数据进重复比对，得到重复、不重复结果；
2、重复线索列表：通过系统比对结果区分重复/不重复线索，在指派、处置等经办页面展示线索重复度情况、当前线索关联各渠道重复线索清单提供业务合并处置确认。
3、线索合并确认：经办人对多条重复的线索进行并行处置后，将处置结果反馈后将重复的几条线索标注为合并处理。</t>
  </si>
  <si>
    <t>劳动关系矛盾重大事件和舆情管理-重大事件上报</t>
  </si>
  <si>
    <t>简化上报流程、强化数据管理、融入智能化技术，提供重大事件登记、紧急程度标注，实现重大事件信息的及时传递。1、事件登记：通过日历和时间选择器精准记录重大事件发生时间，详细登记事发地址、涉事企业及统一社会信用代码、事件描述、参与人数、所属网格等信息。系统自动进行必填项校验，审核通过后提交，保障数据完整性与准确性。
2、紧急程度标注：设置“一般”“紧急”“特急”三个等级的紧急程度选择项，业务经办人员可根据事件实际情况勾选相应等级。系统对不同等级进行突出显示，便于上级部门快速识别事件优先级，科学调配处置资源 。</t>
  </si>
  <si>
    <t>劳动关系矛盾重大事件和舆情管理-重大事件报告</t>
  </si>
  <si>
    <t>经办人员根据要求编制重大事件处置报告，提供报告填报、编辑、预览和调整，调整完成后提交审核，支持编辑、修改、字体段落调整；并借助大模型技术，自动提取重大事件处置流程中的关键信息，实现报告关键字段生成，自动填入表单。</t>
  </si>
  <si>
    <t>劳动关系矛盾重大事件和舆情管理-舆情综合分析</t>
  </si>
  <si>
    <t>按需展示各个区域各个时段的舆情信息，可以展示当前舆情突发件的案件性质、地理位置等信息，并支持点击查看舆情的详细报告，同时支持按区域扎实舆情热点图统计，通过颜色标识。</t>
  </si>
  <si>
    <t>劳动关系矛盾综合处置管理-预警事件推送</t>
  </si>
  <si>
    <t>开发风险预警推送规则，结合风险预警结果数据，对风险预警事件进行智能分发，并设定处置时限，经审核后推送至所对应的责任业务部门。1、智能推送：深度融合劳动监察与仲裁业务需求，基于预警事件类别（如用工风险、劳动争议）和预警等级，结合属地管理原则，自动将预警信息分发至用工所在地对应的区级劳动监察机构、劳动人事争议仲裁机构，确保风险事件第一时间抵达责任主体，提升处置响应的及时性与准确性。
2、处置时限管理：建立科学的预警事件分级响应机制，根据预警级别的紧急程度与风险大小，设定差异化的处置时限要求。对于高等级预警事件，明确规定短周期的处置期限，督促责任单位快速介入；针对普通预警事件，合理设置处置时间窗口，既保障处置质量，又确保风险可控。通过严格的时限管理，推动预警处置工作高效、有序开展。
3、事件提醒：依托一体化信息平台，主动向相关业务人员、责任领导推送预警事件提醒，提醒方式涵盖平台站内信、手机短信、系统弹窗等多种渠道，确保预警信息及时触达、无一遗漏。同时，针对未及时处理的预警事件，触发二次提醒，强化责任落实，避免因信息延误影响处置进度。
4、列表查看：提供便捷、直观的预警事件列表查看功能，支持用户按时间、预警等级、处理状态等条件进行筛选与检索。列表详细展示预警事件的关键信息，包括事件类型、涉及企业、推送时间、当前处理进度等，帮助业务人员快速掌握预警事件全貌。通过简洁明了的可视化界面，实现对预警事件的集中管理与高效调度，为风险防控决策提供有力支持。</t>
  </si>
  <si>
    <t>劳动关系矛盾综合处置管理-预警事件指派</t>
  </si>
  <si>
    <t>根据风险预警事件类型和属地，可向所属地进行指派，开发指派业务规则，关联企业历史风险预警情况，辅助业务人员高效、精准完成事件指派。1、待指派任务列表：依托一体化平台，系统为劳动关系科、监察支队、仲裁院等业务机构实时同步预警处置任务，以动态滚动形式直观展示任务数量、所属地区、预警类别等核心信息。支持多维度筛选与快速检索，帮助业务人员第一时间掌握任务全貌，为高效分配资源提供清晰指引。
2、市级指派：针对用工所在地缺失的特殊预警事件，市级人社机构发挥统筹协调作用，依据预警事件性质、历史风险数据等信息，精准研判并指派至对应区级人社机构。通过市级统一调度，填补属地管理盲区，确保预警事件 “件件有归属、事事有人管”。
3、区级指派：区级人社机构作为承上启下的枢纽，接收市级任务后，结合区域内乡镇街人社机构的职能分工与资源配置，将预警事件定向分派至基层单位。通过细化属地责任，推动预警处置向一线延伸，实现风险防控关口前移。
4、乡镇街指派：乡镇街人社机构作为风险处置的 “最后一公里”，将接收的预警事件进一步拆解，精准定位至具体业务人员。结合人员专业特长与辖区企业分布，确保每个预警任务都能匹配最合适的责任人，提升处置的专业性与针对性。
5、指派智能辅助：系统深度关联企业风险画像与劳动者维权行为画像，通过大数据分析与智能算法，为指派人员提供可视化决策参考。自动识别预警事件关键要素，匹配相似案例与处置经验，同步推荐最优指派路径，有效降低人为判断偏差，助力实现科学、精准的任务分配。</t>
  </si>
  <si>
    <t>劳动关系矛盾综合处置管理-预警事件处置</t>
  </si>
  <si>
    <t>结合劳动仲裁知识库和法律法规知识库，提供处置任务参看、处置依据智能匹配、类案匹配、事件涉及企业及劳动者情况查看，经办人员对预警事件进行快速判断，制定处置策略，并反馈处置情况。1、处置任务列表：业务人员登录系统后，可实时接收预警任务，并灵活标注“已接收”“处置中”“待反馈”等状态。系统自动更新任务进展，支持按时间、状态等多维度快速检索，帮助工作人员随时掌握任务进度，合理调配处置资源。
2、处置方案智能辅助：依托劳动仲裁知识库，系统运用余弦相似度算法，将当前预警事件关键词与历史案例进行深度匹配，筛选出高相似度案件。通过展示争议焦点、证据材料及处理流程等信息，为经办人提供直观参考，辅助其高效制定科学合理的处置策略。
3、处置依据智能辅助：结合法律法规知识库，系统建立法律条文与预警事件类型的语义关联。当接收到预警信息时，通过规则引擎自动分析风险类型，精准检索匹配的法律条文、司法解释及典型案例，支持关键词二次检索与全文高亮，助力业务人员快速定位处置依据。
4、预警事件涉及主体信息查询：系统深度关联企业风险画像与劳动者维权行为画像，整合企业用工历史、违规记录、劳动者维权频次等信息，以可视化方式呈现预警事件相关主体全貌，帮助处置人员全面了解事件背景，制定更具针对性的处置方案。
5、处置反馈：业务人员在处置过程中，可详细记录处理流程、结果及相关证据。处理完成后，需在系统中提交包含具体处理措施、处置结果等内容的反馈信息，并上传补缴凭证、整改通知书等证明材料，确保处置过程可追溯、结果有依据。
6、自动校核：在业务人员提交处置反馈后，系统自动启动完整性校验程序，对必填文件上传情况、文字说明完整性等进行检查。一旦发现疏漏，立即提示补充完善，有效避免因信息缺失导致的审核延误，提升处置反馈质量。
7、审核审批：审核人员查看预警事件详情与处理结果后，进行审批操作。若审核通过，系统自动执行预警解除等后续流程；若审核不通过，则退回处理并附详细驳回理由，明确整改要求，形成 “处置 - 反馈 - 审核” 的闭环管理机制 。</t>
  </si>
  <si>
    <t>劳动关系矛盾综合处置管理-预警事件回退</t>
  </si>
  <si>
    <t>如出现企业辖区归属、无法解决等问题，则支持处置任务的回退操作；街道回退后，则区级审核并在通过后重新指派；区级回退后，则市级审核并在通过后重新指派。1、回退操作：业务经办人员在查看预警件详情后，若发现事件不在自身管辖范围内，或因权限不足无法处理（如街道难以处置复杂企业违规行为），可直接发起回退流程。回退时需详细填写原因，并支持上传文件、截图等证明材料，确保回退依据充分，为上级部门审核提供详实参考。
2、处置任务状态更新：一旦经办人员提交回退申请，系统将迅速响应，自动将任务状态调整为 “待区级审核”（街道经办场景）或 “待市级审核”（区级经办场景）。同时，通过一体化平台消息推送、短信提醒等多渠道，及时通知对应审核人员，确保流程无缝衔接，避免信息延误。
3、回退审核：上级部门收到回退申请后，将对事件进行审核。若审核通过，系统立即将任务重新指派至合适的区级或市级部门，并更新任务状态为 “区级/市级重新指派”；若审核不通过，审核人员需填写明确的驳回理由，任务随即退回给经办人，状态变更为 “回退驳回”，并通知经办人重新处理，形成完整的审核闭环。</t>
  </si>
  <si>
    <t>劳动关系矛盾综合处置管理-预警解除管理</t>
  </si>
  <si>
    <t>对各部门风险预警处置进行解除办结，实现对疑点数据的闭环管理，支持非结构化文件上传，审核通过后，风险预警关闭。1、双模式触发机制：提供自动触发与手动操作两种预警解除模式。系统可基于预设规则，对处置结果自动核验达标后触发解除；同时支持业务经办人员在完成现场处置、确认问题解决后，手动提交解除，满足多样化业务场景需求。
2、智能核验判定：自动模式下，系统依据处置反馈数据，智能比对风险指标、处理结果与结案标准。例如，针对企业欠薪预警，自动核查工资补发凭证、劳动者确认记录等材料，确保风险切实消除后执行解除操作。
3、手动提交管理：手动模式中，经办人员提交解除申请时，需补充现场处置详情、相关证明材料等信息。系统对提交内容进行完整性检查，保障解除依据充分，避免误操作或虚假结案。</t>
  </si>
  <si>
    <t>劳动关系矛盾综合处置管理-区域预警事件管理</t>
  </si>
  <si>
    <t>面向市、区管理部门，整合所辖区域内处于处理中、待分发、已完成等不同阶段的预警事件数据，利用可视化图表、动态数据看板等形式，为管理部门提供多维度、全流程的风险综合展示。</t>
  </si>
  <si>
    <t>劳动关系矛盾综合处置管理-风险处置跟踪与提醒</t>
  </si>
  <si>
    <t>面向工作经办人员提供预警事件处置进度、事件重点标准、超时提醒，辅助管理人员对风险预警事件总体情况的跟踪。1、全流程动态监控：系统实时跟踪预警任务从接收、处理到反馈的全流程状态，自动记录各环节操作时间，支持按任务编号、状态、处理人员等条件快速检索查看任务进展。
2、超时阈值自定义：支持管理人员根据预警事件类型、紧急程度等，灵活设置不同的超时阈值（如普通任务 24 小时、紧急任务 4 小时），满足多样化业务需求。
3、智能提醒机制：当任务处理时间临近或超过预设阈值，系统自动触发多级提醒，包括系统弹窗、站内信、短信等方式，向责任人员及上级主管发送催办通知，明确告知任务超时情况及剩余处理时间。
4、升级处理联动：若任务超期未处理，系统根据预设规则自动将任务升级移交上级部门，同步更新任务状态为“升级处理”，并生成升级记录，便于追溯流程变更原因。
5、时间轴关键节点可视化：系统以直观的时间轴形式呈现预警任务处理过程，自动标注任务接收、临近提醒触发、超时提醒发送、升级处理启动、上级接收任务等关键节点，并关联对应操作记录。支持用户通过缩放、拖动时间轴查看不同时间跨度的任务进展，点击节点可弹窗显示该节点的详细操作内容、处理人员及时间戳，帮助用户快速掌握任务全貌与关键时间节点，提升任务管理的可视化与便捷性 。</t>
  </si>
  <si>
    <t>劳动关系矛盾综合处置管理-风险预警事件归档</t>
  </si>
  <si>
    <t>风险预警事件解除后对劳动关系风险预警触发的所有数据及处置过程数据（如处置人员、处置时间、处置结果等）进行自动采集，提供归档信息勾选、档案编号，可以按照时间、区域调阅事件档案信息。1、数据采集：系统自动抓取预警触发全生命周期数据，全面涵盖预警时间、企业标识、风险指标、处置措施及结果等关键信息。采用结构化存储方式，以时间轴、企业主体、风险类型构建三维索引体系，确保数据精准关联与高效调用，为后续分析提供坚实数据基础。
2、归档补充：针对自动采集盲区，系统提供灵活的数据补充入口。支持上传 PDF、Word、图片等多格式文件，录入文本信息完善档案。补充时自动标注归档时间与操作人，无缝衔接已存数据，完整记录风险处置全过程，确保档案信息完整性与准确性。
3、预警事件档案编号规则：支持自定义档案编号规则，通过区域代码、预警类型、年份及流水号组合生成唯一标识（如：BJ-Q-2025-00001）。归档时自动校验编号重复性，同时允许手动调整前缀，满足多样化管理需求，实现档案编号规范有序、便捷可查。
4、预警事件自动归档：在预警解除通知书生成后的 1 个工作日内，系统自动触发归档流程。无需人工干预，快速将相关数据分类归集至对应档案库，确保数据及时留存，提升归档效率，避免因人为延迟导致的数据丢失或错漏。
5、预警事件档案调阅：提供便捷的档案调阅功能，支持通过档案编号、区域等关键词快速检索。用户可即时查看对应预警事件的全流程记录，实现历史数据的高效回溯，便于总结处置经验、开展案例分析，为后续风险防控决策提供有力参考。</t>
  </si>
  <si>
    <t>劳动关系矛盾综合处置管理-企业风险画像</t>
  </si>
  <si>
    <t>充分利用历史预警事件数据和劳动关系业务信息，构建多维度、动态化的企业风险数字画像，以卡片形式展示核心数据，支持快速筛选与搜索；支持数据下钻分析，提供企业经营、用工、合规等维度风险指标同比分析，对超出阈值的风险指标进行高亮提示。该功能以可视化卡片呈现核心数据，支持快速检索筛选，并提供数据下钻分析与同比对比，对超阈值风险指标高亮预警。</t>
  </si>
  <si>
    <t>劳动关系矛盾综合处置管理-劳动者维权行为画像</t>
  </si>
  <si>
    <t>整合劳动者在仲裁案件及劳动执法过程中的投诉举报和申请信息，从基础画像、维权行为画像、维权结果画像、维权风险画像构建多维度、动态化的劳动者维权行为数字画像1、基础画像：以简洁直观的卡片形式，全面展示劳动者年龄、性别、地域、所在企业规模及技能等核心特征。通过清晰呈现劳动者基础信息，帮助经办人员快速了解维权主体背景，为案件分析与处理提供基础数据支撑。
2、维权行为画像：深入剖析劳动者维权行为轨迹，从维权频率、类型偏好、维权渠道及时效性等维度展开分析。系统精准统计 1 年内投诉举报和仲裁申请次数，梳理劳动者偏好的维权类型与渠道，量化纠纷发生到维权的时间间隔，为预判维权趋势、制定应对策略提供依据。
3、维权结果画像：系统对劳动者维权结果进行深度分析，通过统计成功、部分成功及失败次数，计算各类纠纷平均处理时长，多维度评估维权成效。清晰的数据呈现帮助经办人员总结案件处理经验，优化后续纠纷处理流程，提升整体办案效率。
4、维权风险画像：聚焦潜在维权风险，系统智能识别重复维权、恶意维权及群体维权风险。精准定位多次针对同一单位或同一问题维权的劳动者，筛查频繁更换诉求、提供虚假证据等恶意行为，追踪群体维权事件关联人员，助力提前防范风险，维护劳动关系和谐稳定。</t>
  </si>
  <si>
    <t>劳动关系矛盾综合处置管理-预警处置综合分析</t>
  </si>
  <si>
    <t>针对风险预警事件开展预警准确性评估和处置有效性分析。1、预警准确性评估：从命中率与预警等级匹配度两大维度，对预警结果展开深度剖析。系统精准计算实际发生风险与预警结果的契合比例，同时细致核查预警等级与实际风险严重程度的对应情况，全面诊断预警系统的精准性，为优化预警模型提供关键数据支撑。
2、处置有效性分析：聚焦平均处置时长、首次响应及时率、矛盾化解率等核心指标，系统量化评估预警事件处置效能。通过分析任务从接收到办结的平均耗时、首次响应速度及矛盾纠纷最终化解情况，精准定位处置流程中的薄弱环节，为提升风险处置效率与质量指明改进方向 。</t>
  </si>
  <si>
    <t>劳动仲裁智能化提升-仲裁申请立案智能受理</t>
  </si>
  <si>
    <t>提供材料预处理、申请材料上传功能，调用 OCR 组件，对纸质仲裁申请书、证据材料（劳动合同、工资流水）等材料进行文字提取，对信息进行结构化处理，精准识别材料中的当事人信息、仲裁请求、关键证据等关键字段，自动填充至对应表单。</t>
  </si>
  <si>
    <t>劳动仲裁智能化提升-仲裁立案案由智能匹配</t>
  </si>
  <si>
    <t>基于仲裁案例案件知识库，根据立案案件诉求智能识别出当事人诉求，利用大数据MAP大语言模型能力，通过分析受理材料（调解申请书、仲裁申请书、劳动合同等）自动匹配对应案由，由人工校核后进行填报。</t>
  </si>
  <si>
    <t>劳动仲裁智能化提升-仲裁风险提醒</t>
  </si>
  <si>
    <t>根据当事人信息自动检索全量历史数据（包括当事人的案件类型、申请次数、结论等关键信息），智能识别高频仲裁申请人，一旦触发判定条件系统自动为仲裁工作人员提供当事人身份提醒，并自动展示当事人过往仲裁案件的案由、处理结果、争议焦点等历史数据详情，帮助业务人员快速掌握背景信息。</t>
  </si>
  <si>
    <t>劳动仲裁智能化提升-仲裁案件法规智能匹配</t>
  </si>
  <si>
    <t>依托MAP平台大语言模型的语义理解与推理能力，支持关键词检索、自然语言提问、案情匹配等多种检索模式。用户输入案由（如工伤认定纠纷）、争议焦点（如“加班费计算”）或具体案情描述，系统自动解析语义，结合法律条文核心要素与历史案例法律适用数据，快速检索并推荐最相关的法律条款、司法解释及典型适用场景 。</t>
  </si>
  <si>
    <t>劳动仲裁智能化提升-仲裁类案智能分析</t>
  </si>
  <si>
    <t>在案件处理过程中，根据案件书面描述识别当前案件的类型、特征及关键要素，结合劳动仲裁案例库，提供类案主动推荐能力，辅助仲裁人员全面了解类案处理路径、常见问题及应对策略，提升案件处理的效率与质量。</t>
  </si>
  <si>
    <t>劳动仲裁智能化提升-裁决建议辅助</t>
  </si>
  <si>
    <t>解析仲裁案件全流程信息，包括当事人诉求、举证质证材料、庭审笔录等，结合知识库，精准提炼争议焦点、匹配法律依据，推导出裁决建议。</t>
  </si>
  <si>
    <t>劳动仲裁智能化提升-智能裁决文书</t>
  </si>
  <si>
    <t>以标准化文书模板为框架，基于系统生成裁决建议自动填充结构化内容，经格式校验、逻辑审核与智能润色，生成专业规范的裁决文书初稿。</t>
  </si>
  <si>
    <t>劳动仲裁智能化提升-裁决文书校核</t>
  </si>
  <si>
    <t>支持人工灵活调整裁决文书初稿，对文书初稿进行人工复核，通过可视化界面修改内容（如调整裁决金额、补充事实描述），系统自动记录修改痕迹，生成版本对比。</t>
  </si>
  <si>
    <t>劳动仲裁智能化提升-文书EMS送达</t>
  </si>
  <si>
    <t>送达任务创建，自动提取被申请人地址创建送达任务；文书物流跟踪，跟踪文书物流情况，实现文书送达线上全流程跟踪建立，在规定时间内未送达时短信提醒相关仲裁人员。与EMS物流系统进行对接，涉及5个接口。</t>
  </si>
  <si>
    <t>劳动仲裁智能化提升-文书电子送达</t>
  </si>
  <si>
    <t>对接随申办，开发文书送达服务事项，可延展至支付宝和微信小程序，为当事人、企业提供文书送达服务，包括签收确认、PDF版文书内容的查看和下载；对接短信接口，通过短信将待签收文书、规定时限内未签收消息推送当事人和企业；业务人员可查看文书电子送达状态，实现文书电子送达线上全流程跟踪。</t>
  </si>
  <si>
    <t>劳动仲裁智能化提升-裁审衔接数据共享</t>
  </si>
  <si>
    <t>与法院进行对接，开发统一对外调用接口，涉及4个接口，实现裁审结果共享，协助法院进行劳动人事争议仲裁案卷调阅，实现群体性案件提前提醒，协助法院办理此类案件。</t>
  </si>
  <si>
    <t>劳动仲裁智能化提升-裁审衔接比对分析</t>
  </si>
  <si>
    <t>基于裁审衔接法院共享数据进行比对分析，分析诉求不一致、证据不一致、法律适用不一致、观点不一致、费用计算方式不同等情况。按单个案件展示对分析比对的结果，同时支持按行政区域、案由、不一致情况分类统计的可视化分析展示；支持按区、市管辖权限展示分析结果。</t>
  </si>
  <si>
    <t>劳动关系知识库数据预处理服务-劳动仲裁案件案例知识库数据处理</t>
  </si>
  <si>
    <t>对劳动仲裁系统历史案件信息进行数据过滤、案件去重、文本结构化，去除重复案件，进行结构化处理，形成标准的劳动仲裁案件案例库，涉及数据量约50万个左右。</t>
  </si>
  <si>
    <t>劳动关系知识库数据预处理服务-劳动关系法律法规知识库数据处理</t>
  </si>
  <si>
    <t>对劳动关系政策文件、法律法规文件、执行条例进行文本结构化，形成统一标准的结构化法律法规库，涉及数据量1000条左右。</t>
  </si>
  <si>
    <t>劳动关系知识库数据预处理服务-劳动仲裁案件案例知识库数据增强</t>
  </si>
  <si>
    <t>对历史申请文书、庭审笔录、仲裁裁决文书、案件信息、案件执行文书进行数据增强，对图片进行识别增强、通过去噪、文本提取、格式化处理等增强处理形成格式化案件信息，涉及数据量为70万件左右。</t>
  </si>
  <si>
    <t>劳动关系知识库数据预处理服务-劳动关系法律法规知识库数据增强</t>
  </si>
  <si>
    <t>对劳动关系政策文件、法律法规文件、执行条例文件进行数据增强，对图片进行识别增强、通过去噪、文本提取、格式化处理等增强处理，从文件内容中自动形成结构化的法律法规信息，涉及数据量为1000条以内。</t>
  </si>
  <si>
    <t>劳动关系知识库数据预处理服务-劳动仲裁案件案例知识库数据标注</t>
  </si>
  <si>
    <t>对劳动仲裁系统历史案件信息、历史申请文书、庭审笔录、仲裁裁决文书、案件信息、案件执行文书进行数据标注，主要对案件关键标注（案件类型、案件发生金额等业务关键字等），形成案件关键字、案件标签信息，涉及数据量为1万左右。</t>
  </si>
  <si>
    <t>劳动关系知识库数据预处理服务-劳动关系法律法规知识库数据标注</t>
  </si>
  <si>
    <t>对劳动关系政策文件、法律法规文件、执行条例进行数据标准，主要是对政策文件、法律法规文件、执行条例等进行关键字标注（如：类型、政策类型、政策实施对象等），涉及数据量为1000条以内。</t>
  </si>
  <si>
    <t>劳动关系知识库数据预处理服务-劳动仲裁案件案例知识库数据分片及向量化</t>
  </si>
  <si>
    <t>对劳动仲裁案件案例结构化数据进行数据分片及向量化，对案件信息，识别文本中的主题转换点或者语义单元作为分割依据进行分片。对分片后的数据使用向量化模型进行向量化处理后写入向量数据库。</t>
  </si>
  <si>
    <t>劳动关系知识库数据预处理服务-劳动关系法律法规知识库数据分片及向量化</t>
  </si>
  <si>
    <t>对法律法规结构化数据进行数据分片及向量化，对法律法规等信息，识别文本中的主题转换点或者语义单元作为分割依据进行分片。对分片后的数据使用向量化模型进行向量化处理后写入向量数据库。</t>
  </si>
  <si>
    <t>城市建设者权益保障链-合同信息合约</t>
  </si>
  <si>
    <t>包括合同信息的上传；对上链信息各字段的稽核检查；根据链管理系统的授权信息自动为各数据接收方生成查询索引并进入数据队列；合同信息的查询；根据当前用户的授权信息返回权限内的数据。</t>
  </si>
  <si>
    <t>城市建设者权益保障链-施工许可信息合约</t>
  </si>
  <si>
    <t>包括施工许可信息的上传；对上链信息各字段的稽核检查；根据链管理系统的授权信息自动为各数据接收方生成查询索引并进入数据队列；施工许可信息的查询；根据当前用户的授权信息返回权限内的数据。</t>
  </si>
  <si>
    <t>城市建设者权益保障链-工资保证金账户应储存金额合约</t>
  </si>
  <si>
    <t>包括工资保证金账户应储存金额的上传；对上链信息各字段的稽核检查，合约自动校验发证日期是否超过30天；根据链管理系统的授权信息自动为各数据接收方生成查询索引并进入数据队列；工资保证金账户应储存金额的查询；根据当前用户的授权信息返回权限内的数据。</t>
  </si>
  <si>
    <t>城市建设者权益保障链-工资保证金专户开设凭证要素合约</t>
  </si>
  <si>
    <t>1、工资保证金专户（保证金）开设凭证要素合约：合约包括工资保证金专户（保证金）开设凭证要素的上传；对上链信息各字段的稽核检查；引用工资保证金账户应储存金额合约的应存金额对存储金额进行校验；根据链管理系统的授权信息自动为各数据接收方生成查询索引并进入数据队列；工资保证金专户（保证金）开设凭证要素的查询；根据当前用户的授权信息返回权限内的数据。
2、工资保证金专户（保函）开设凭证要素合约：合约内容包括工资保证金专户（保函）开设凭证要素的上传；对上链信息各字段的稽核检查；引用工资保证金账户应储存金额合约的应存金额对保函金额进行校验；根据链管理系统的授权信息自动为各数据接收方生成查询索引并进入数据队列；工资保证金专户（保函）开设凭证要素的查询；根据当前用户的授权信息返回权限内的数据。</t>
  </si>
  <si>
    <t>城市建设者权益保障链-工资保证金专户备案信息合约</t>
  </si>
  <si>
    <t>包括工资保证金专户开户备案、支付备案、返回备案；对上链信息各字段的稽核检查；根据链管理系统的授权信息自动为各数据接收方生成查询索引并进入数据队列；工资保证金专户备案信息的查询；根据当前用户的授权信息返回权限内的数据。</t>
  </si>
  <si>
    <t>城市建设者权益保障链-保证金支付信息合约</t>
  </si>
  <si>
    <t>包括保证金支付信息的上传；对上链信息各字段的稽核检查；根据链管理系统的授权信息自动为各数据接收方生成查询索引并进入数据队列；保证金支付信息的查询；根据当前用户的授权信息返回权限内的数据。</t>
  </si>
  <si>
    <t>城市建设者权益保障链-支付结果回盘信息合约</t>
  </si>
  <si>
    <t>包括工支付结果回盘信息的上传；对上链信息各字段的稽核检查；根据链管理系统的授权信息自动为各数据接收方生成查询索引并进入数据队列；支付结果回盘信息的查询；根据当前用户的授权信息返回权限内的数据。</t>
  </si>
  <si>
    <t>城市建设者权益保障链-工资保证金专户变动信息合约</t>
  </si>
  <si>
    <t>包括工资保证金专户变动信息的上传；对上链信息各字段的稽核检查，合约自动校验保证金备案结果目录中对应的存储状态；根据链管理系统的授权信息自动为各数据接收方生成查询索引并进入数据队列；工资保证金专户变动信息的查询；根据当前用户的授权信息返回权限内的数据。</t>
  </si>
  <si>
    <t>城市建设者权益保障链-安标竣工项目信息合约</t>
  </si>
  <si>
    <t>包括安标竣工项目信息的上传；对上链信息各字段的稽核检查；根据链管理系统的授权信息自动为各数据接收方生成查询索引并进入数据队列；安标竣工项目信息的查询；根据当前用户的授权信息返回权限内的数据。</t>
  </si>
  <si>
    <t>城市建设者权益保障链-总包合同人工费拨付约定合约</t>
  </si>
  <si>
    <t>包括总包合同人工费拨付约定的上传；对上链信息各字段的稽核检查；根据链管理系统的授权信息自动为各数据接收方生成查询索引并进入数据队列；总包合同人工费拨付约定的查询；根据当前用户的授权信息返回权限内的数据。</t>
  </si>
  <si>
    <t>城市建设者权益保障链-工资专户开户信息合约</t>
  </si>
  <si>
    <t>包括工资专户开户信息的上传；对上链信息各字段的稽核检查；根据链管理系统的授权信息自动为各数据接收方生成查询索引并进入数据队列；工资专户开户信息的查询；根据当前用户的授权信息返回权限内的数据。</t>
  </si>
  <si>
    <t>城市建设者权益保障链-工资专户进帐明细合约</t>
  </si>
  <si>
    <t>包括工资专户进帐明细的上传；对上链信息各字段的稽核检查；根据链管理系统的授权信息自动为各数据接收方生成查询索引并进入数据队列；工资专户进帐明细的查询；根据当前用户的授权信息返回权限内的数据。</t>
  </si>
  <si>
    <t>城市建设者权益保障链-应发工资人员支付信息合约</t>
  </si>
  <si>
    <t>1、应当发放工资人员支付批次信息合约：合约包括按月应当发放工资人员支付批次信息的上传；对上链信息各字段的稽核检查；根据链管理系统的授权信息自动为各数据接收方生成查询索引并进入数据队列；按月应当发放工资人员支付批次信息的查询；根据当前用户的授权信息返回权限内的数据。
2、应当发放工资人员支付明细信息合约：合约包括按月应当发放工资人员支付明细信息的上传；对上链信息各字段的稽核检查；根据工资专户的进账明细对发放金额进行校验；根据链管理系统的授权信息自动为各数据接收方生成查询索引并进入数据队列；按月应当发放工资人员支付批次信息的查询；根据当前用户的授权信息返回权限内的数据。合约自动校验：专户内金额少于应发金额时，向业务系统发出提示。</t>
  </si>
  <si>
    <t>城市建设者权益保障链-劳动关系预警信息合约</t>
  </si>
  <si>
    <t>包括预警信息的上传；对上链信息各字段的稽核检查；根据链管理系统的授权信息自动为各数据接收方生成查询索引并进入数据队列；预警信息的查询；根据当前用户的授权信息返回权限内的数据。</t>
  </si>
  <si>
    <t>劳动关系矛盾重大事件和舆情管理-舆情数据采集管理</t>
  </si>
  <si>
    <t>支持市、区、街道多级机构直接上报舆情信息，同时接入人社内部宣教数据及外部舆情源。</t>
  </si>
  <si>
    <t>劳动关系矛盾重大事件和舆情管理-劳动关系舆情特征词管理</t>
  </si>
  <si>
    <t>通过分析劳动关系领域常见问题的特点、历史舆情数据，提取生成候选特词，利用新增、审核、修改全流程操作，为智能化舆情监测、预警与分析提供精准的语义支撑，提升舆情分析的准确性和针对性。1、候选特征词管理：借助自然语言处理技术，分析历史舆情文本数据，自动抓取高频且具代表性词汇，生成候选特征词列表。管理人员可从中筛选确认，确保特征词贴合劳动关系舆情分析实际需求，为后续精准分析筑牢基础。
2、特征词新建与维护：支持单个添加或批量导入劳动关系舆情特征词，通过填写词语名称、所属类别、描述及关联政策法规等信息，实现特征词系统化管理。无论是 “欠薪” 关联《保障农民工工资支付条例》，还是其他复杂场景，均可精准对应，丰富特征词库。
3、审核与发布：构建 “提交→初审→复审→发布” 多级审核流程。初审聚焦语义准确性与类别合理性，复审从业务全局考量必要性与适用性。层层把关，确保纳入系统的特征词质量可靠，为舆情分析提供坚实依据。
4、特征词分类与检索：运用树状结构对特征词进行多级分类，如一级分类“劳动关系争议类型”下细分“薪资福利”“用工管理”等二级类目。便捷的分类检索功能，助力用户快速定位所需特征词，大幅提升劳动关系舆情分析的效率与便捷性。</t>
  </si>
  <si>
    <t>劳动关系矛盾重大事件和舆情管理-舆情风险分析</t>
  </si>
  <si>
    <t>通过对舆情文本进行深度解析，从情感分析、话题聚类、热度评估开展智能舆情分析，为分级预警提供支撑。1、舆情文本深度解析：运用智能文本处理技术，对劳动关系舆情信息进行全方位扫描，精准提取涉事企业、劳动者诉求、事件规模等关键要素，将繁杂的舆情内容转化为结构化数据，为后续分析筑牢基础。2、话题聚类分析：基于语义分析与相似度计算，自动梳理整合相似舆情信息，快速识别热点话题，厘清事件发展脉络。帮助用户从海量信息中抓住核心，高效掌握舆情演变趋势与焦点问题。
3、舆情热度评估：综合舆情数量、涉及人数情况、涉及企业情况等多维度指标，构建科学的热度评估模型，辅助定位高风险舆情，及时采取应对措施。</t>
  </si>
  <si>
    <t>劳动关系矛盾重大事件和舆情管理-舆情预警管理</t>
  </si>
  <si>
    <t>根据设置定义的舆情分级预警规则，将舆情风险分为蓝色（一般关注）、黄色（中度风险）、橙色（高度风险）、红色（紧急风险）四个等级，自动生成预警结果。</t>
  </si>
  <si>
    <t>劳动关系矛盾重大事件和舆情管理-重大事件综合分析</t>
  </si>
  <si>
    <t>从区域、时间等多个维度分析展示重大事件预警办理的各种数据情况，包括事件登记数、生成预警数、涉及企业数、涉及人数、涉及金额、办理时长等</t>
  </si>
  <si>
    <t>劳动关系矛盾态势分析-总体态势分析</t>
  </si>
  <si>
    <t>为应对劳动关系领域日益复杂的挑战，提升源头治理与风险防控能力，需对全市人社部门执法、仲裁等核心业务经办总体态势情况进行分析。分析内容主要包括执法、仲裁等业务总体情况统计分析，支持查看全市总体态势情况实时预警统计、总体业务办理量、产生预警量、风险预警地图动态热力图，动态风险事件预警情况。</t>
  </si>
  <si>
    <t>劳动关系矛盾态势分析-重点关注企业态势分析</t>
  </si>
  <si>
    <t>为精准识别劳动关系高风险源头企业，提升监管效能，围绕重点关注企业进行态势分析，查看每个企业产生预警记录情况，产生预警趋势变化、产生预警类型。全面展示企业历史预警的详细信息，</t>
  </si>
  <si>
    <t>劳动关系矛盾态势分析-行业领域风险态势分析</t>
  </si>
  <si>
    <t>支持对上海市各个行业领域风险情况进行分析，包含各行业企业数量、行业企业分布、产生风险预警、舆情、涉及重大事件数量及趋势变化、用工情况等风险分析，</t>
  </si>
  <si>
    <t>劳动关系矛盾态势分析-企业保障金态势专题分析</t>
  </si>
  <si>
    <t>为更好的执行上海市2009年政府令第19号公布的《上海市人民政府关于修改〈上海市企业欠薪保障金筹集和垫付的若干规定〉的决定》的文件精神，及时掌握企业欠薪保障金垫付情况，实现企业欠薪保障金垫付情况、企业欠薪情况、各区企业欠薪保障金垫付情况、欠薪情况汇总主题分析。</t>
  </si>
  <si>
    <t>劳动关系矛盾态势分析-欠薪线索态势专题分析</t>
  </si>
  <si>
    <t>通过国家欠薪平台接口定期下载数据，为业务掌握全局信息需要，需要及时掌握欠薪线索处置情况，同时为控制欠薪风险，分析新增风险投诉单位、多次反映人员的情况。因而需实现欠薪线索接收量分析、欠薪线索完成量分析、新增风险单位分析、多次投诉反应分析、欠薪处置结果分析、欠薪线索处置情况分析、欠薪线索处累计接收分析。</t>
  </si>
  <si>
    <t>劳动关系矛盾态势分析-协调化解态势专题分析</t>
  </si>
  <si>
    <t>通过协调化解件接收量分析、协调化解件流转分析、协调化解件案件效果分析，便于业务及时掌握咨询中心定期流转过来的协调件处理情况，以及各级机构流转情况及解决效果。</t>
  </si>
  <si>
    <t>劳动关系矛盾态势分析-劳动关系态势简报（随申办政务云）</t>
  </si>
  <si>
    <t>对接随申办，快速查看劳动关系矛盾风险预警重要数据。</t>
  </si>
  <si>
    <t>劳动关系矛盾态势分析-劳动关系矛盾综合研判</t>
  </si>
  <si>
    <t>结合劳动关系矛盾风险分级预警全过程数据、现有劳动关系业务运行数据，对影响因素、重大风险及发展趋势定期进行定量分析和研判。</t>
  </si>
  <si>
    <t>城市建设者权益保障链-工资专户支付信息合约</t>
  </si>
  <si>
    <t>1、工资专户具体支付批次信息合约：合约包括工资专户具体支付批次信息的上传；对上链信息各字段的稽核检查；根据工资专户的进账明细对发放金额进行校验；根据链管理系统的授权信息自动为各数据接收方生成查询索引并进入数据队列；工资专户具体支付批次信息的查询；根据当前用户的授权信息返回权限内的数据。
2、工资专户具体支付明细合约：金融机构调用，将对应项目开设的工资专户具体支付明细实时上传。总包单位调用，核实工资发放明细。人社局调用，分析预警用。合约自动校验：支付金额小于应发放金额时，向业务系统发出提示。</t>
  </si>
  <si>
    <t>城市建设者权益保障链-数据目录授权信息合约</t>
  </si>
  <si>
    <t>包括数据目录授权信息和用户数据目录授权信息的上传；对上链信息各字段的稽核检查；根据链管理系统的授权信息自动为各数据接收方生成查询索引并进入数据队列；数据目录授权信息和用户数据目录授权信息的查询，向其他业务合约提供授权信息。</t>
  </si>
  <si>
    <t>城市建设者权益保障链-链用户信息合约、数据项授权信息合约</t>
  </si>
  <si>
    <t>1、链用户信息合约包括链用户信息的上传；对上链信息各字段的稽核检查；根据链管理系统的授权信息自动为各数据接收方生成查询索引并进入数据队列；链用户信息的查询；根据当前用户的授权信息返回权限内的数据。
2、数据项授权信息合约包括数据项授权信息的上传；对上链信息各字段的稽核检查；根据链管理系统的授权信息自动为各数据接收方生成查询索引并进入数据队列；数据项授权信息的查询，向其他业务合约提供授权信息。</t>
  </si>
  <si>
    <t>城市建设者权益保障链-数据队列信息合约</t>
  </si>
  <si>
    <t>包括为各业务合约提供数据队列的插入；根据链管理系统的授权信息自动为各数据接收方生成对应的数据队列；数据队列信息的查询；数据队列的移除。</t>
  </si>
  <si>
    <t>城市建设者权益保障链-上链SDK接口定制开发、链上调用智能合约服务</t>
  </si>
  <si>
    <t>1、上链SDK接口定制开发：基于“上海市政务区块链统一平台”接口标准进行定制化开发。服务于链管系统上链，人社相关数据上链。
2、链上调用智能合约服务：提供链上调用智能合约模块，通过该模块调用相关业务智能合约。服务于人社、住建委、交通委、银行和保险单位。</t>
  </si>
  <si>
    <t>城市建设者权益保障链-数据目录管理、授权管理</t>
  </si>
  <si>
    <t>1、数据目录管理：对数据目录进行新增、修改和删除操作。支持与区块链节点的双向流转，定时或实时同步数据目录信息。
2、授权管理：包括数据映射配置管理和数据授权管理。支持从时间维度、用户维度、具体数据项维度进行精准授权。</t>
  </si>
  <si>
    <t>城市建设者权益保障链-平台管理</t>
  </si>
  <si>
    <t>包括用户管理、角色管理、资源管理、日志管理。支持角色的查看、创建、编辑、删除，以及资源的分配。资源菜单的查看、新增、编辑、删除。</t>
  </si>
  <si>
    <t>3、上海人社“一网通办”改革行动及就业服务相关工作</t>
  </si>
  <si>
    <t>一网通办改革行动方案-参保个人社会保险收款</t>
  </si>
  <si>
    <t>根据录入身份信息查询对应支付的社会保险费数据（一网通办、随申办，企业、机关、财政专项、职业年金、工伤、被征地、城乡居保），选择需支付数据和付款方式予以支付。</t>
  </si>
  <si>
    <t>一网通办改革行动方案-参保单位社会保险收款</t>
  </si>
  <si>
    <t>可查询参保单位对应支付的社会保险费数据，选择需支付数据（一网通办，干保、欠薪、工伤），填写财政专用收据邮寄地址等信息，选择付款方式予以支付。</t>
  </si>
  <si>
    <t>一网通办改革行动方案-社会保险扫码缴费</t>
  </si>
  <si>
    <t>通过扫相关告知书上的二维码，显示该告知书中对应的参保人员以及支付金额信息等内容，选择付款方式予以支付。</t>
  </si>
  <si>
    <t>一网通办改革行动方案-社会保险支付结果处理</t>
  </si>
  <si>
    <t>接收公共支付平台推送的第三方平台支付结果信息，更新支付订单状态。</t>
  </si>
  <si>
    <t>一网通办改革行动方案-一网通办支付信息接入</t>
  </si>
  <si>
    <t>按照“一网通办”中“统一支付”要求，将支付相关信息接入统一受理平台</t>
  </si>
  <si>
    <t>一网通办改革行动方案-人力资源服务许可</t>
  </si>
  <si>
    <t>人力资源服务企业通过一网通办在线申请人力资源服务许可证</t>
  </si>
  <si>
    <t>一网通办改革行动方案-一次性扩岗补助</t>
  </si>
  <si>
    <t>一次性扩岗补助建设内容包括后台模型每天计算应届生本市和外来从业人员校验核算（是否应届生和离校两年内），企业满足对接一网通办免申即可享受确认补贴；支持经办人员对于符合条件的单位复审和补贴支付汇总；支持单位和经办人员对一次性阔岗补贴过程追溯 。</t>
  </si>
  <si>
    <t>一网通办改革行动方案-用人单位吸纳就业困难人员岗位补贴和社会保险费补贴</t>
  </si>
  <si>
    <t>用人单位吸纳就业困难人员岗位补贴和社会保险费补贴建设内容包括后台每月计算就困人员符合条件，筛选符合发放补贴人员，企业满足条件进行首次一网通办免申即可享受确认补贴，短信推送告知，站内信告知；经办系统对当月符合条件的单位和人员补贴信息，自动发起补贴申请；支持窗口渠道对补贴申请人员，做到线上和线下双渠道支持，每月进行支付汇总，发放补贴; 支持单位和经办人员对补贴过程中的审批追溯 ；支持经办人员在各种问题中可申请退还补贴。</t>
  </si>
  <si>
    <t>一网通办改革行动方案-就业见习补贴申领(个人注册参加就业见习)</t>
  </si>
  <si>
    <t>就业见习补贴申领建设内容包括支持在随身办见习学员可自己申请参加就业见习,支持发送短信和信息填入，银行卡填写，最终信息确认，进入见习学员名单</t>
  </si>
  <si>
    <t>一网通办改革行动方案-职业培训（企业职工培训）</t>
  </si>
  <si>
    <t>职业培训(企业职工培训)功能包括：企业职工基本信息查询录入、企业职工劳服下属企业信息录入及保存、直接补贴项目申请录入及保存、集中服务项目申请录入及保存，直接补贴或集中服务项目申报用于后续相关培训条线进行审核的申报功能</t>
  </si>
  <si>
    <t>一网通办改革行动方案-劳动保障监察-检查码管理</t>
  </si>
  <si>
    <t>检查码管理事项。包含了业务经办事项功能与政务云移动端功能。涉及与外部系统对接接口20个。事项功能：包括（1）业务经办管理节点，包括查询、申请、推送、重推、修改、办结、作废、撮码等功能。
（2）移动端功能：包括申码和亮码两个大功能块，在申码功能里，可以现场录入相关信息发起申码申请，并且支持扫一扫功能，通过扫一扫功能可以自动获取到人员信息，然后发起申请；在亮码功能里，执法人员可以选中申请好的检查码点击亮码按钮展示检查码图片，并支持通过扫一扫功能修改现场负责人信息。</t>
  </si>
  <si>
    <t>一网通办改革行动方案-劳动保障监察-联合检查码管理</t>
  </si>
  <si>
    <t>联合检查码管理事项，涉及与外部系统对接接口10个。包括一个管理节点，包括查询、新增、推送、办结等功能。支持执法人员新增联合检查任务。</t>
  </si>
  <si>
    <t>一网通办改革行动方案-劳动保障监察-接收联合任务</t>
  </si>
  <si>
    <t>接收联合任务事项，涉及与外部系统对接接口2个。包括一个管理节点，包括查询、加入、不加入功能。对其他委办局发来的联合检查任务进去确认是否加入。</t>
  </si>
  <si>
    <t>外来从业人员综合保险-老年补贴补缴</t>
  </si>
  <si>
    <t>建设老年补贴补缴事项包括申请1个节点，实现领取老年补贴人员因补缴需要实现老年补贴补缴，可通过随申办APP完成老年补贴补缴申请。系统需要同时收集相关经办材料，待事项完成后发起相关归档工作。
本次建设涉及申请共计1个节点功能的对接建设。根据补缴要求判断补缴条件，计算老年补贴可补缴月数、对应记账年月和账户金额。事项通过实时调用接口获取保险公司保单状态和保单信息用于计算补缴月数，并根据记账必须是老年补贴缴费的月份，记账月不能存在本市其他缴费，记账月不能存在异地转移接续的缴费，记账月不能存视同缴费月份，如存在需按照记账月由近到远向前递推的方式确定，如无法记录则需舍去，并明确舍去的月数的规则生成对应年月的待记信息。待就促部门审核通过，社保部门确认补缴后形成老年补贴补缴的应征信息。并通知保险公司进行保单锁定，不再允许个人支取保单。需按节点流程梳理相关数据字段和字典的对照关系，完成数据查询、条件判断的数据源切换；梳理数据保存的处理逻辑，进行原子业务编排并使用原子业务调用方式接入部级风控，实现业务数据的入库工作。
申请：个人通过随申办市民云APP申请老年补贴补缴，个人核实老年补贴未领取的保单信息，折算具体补缴月份，个人确认后提交老年补贴补缴。</t>
  </si>
  <si>
    <t>外来从业人员综合保险-老年补贴补缴测算</t>
  </si>
  <si>
    <t>建设老年补贴补缴测算事项包括测算共1个节点，实现老年补贴补缴人员对已领取老年补贴、且已在本市办理退休人员提供模拟测算，计算其完成老年补贴补缴后，退休待遇调整情况，可通过随申办APP，完成老年补贴补缴测算工作。系统需要同时收集相关经办材料，待事项完成后发起相关归档工作。
本次建设涉及测算共计1个节点功能的对接建设。根据保单信息及相关规则测算可补缴月数，展示拟记账月数、金额，同时按照根据公式：（退休时上年度全口径城镇单位就业人员月平均工资+退休时本人指数化月平均工资）/ 2 ×补缴年限 × 1％（补缴年限不足整年的，剩余月数按照每个月0· 083％计发） +补缴记入的个人账户储存额/退休时本人计发月数，进行可能增加的养老金金额测算。</t>
  </si>
  <si>
    <t>外来从业人员综合保险-老年补贴补缴台账审核</t>
  </si>
  <si>
    <t>建设老年补贴补缴台账审核事项包括业务审核共1个节点，实现就促部门完成业务补缴的业务审核，并生成对应的审核信息，可通过人社经办大厅（RA）渠道完成老年补贴补缴审核工作。系统需要同时收集相关经办材料，待事项完成后发起相关归档工作。
本次建设涉及共计1个节点功能的对接建设。需按节点流程梳理相关数据字段和字典的对照关系，完成相关工作人员获取待征人员清单，通过审核比对其购买保单信息，审核其老年补贴补缴资格和相关信息。审核通过人员待汇总推送保险公司确认保单支取金额。</t>
  </si>
  <si>
    <t>外来从业人员综合保险-老年补贴补缴台账确认</t>
  </si>
  <si>
    <t>建设老年补贴补缴台账确认事项包括确认共1个节点，实现老年补贴人员因用于对接、处理就促部门已完成的业务审核后的补缴数据，并生成对应补缴核定表，可通过人社经办大厅（RA）渠道，完成老年补贴补缴确认工作。系统需要同时收集相关经办材料，待事项完成后发起相关归档工作。
本次建设涉及确认共计1个节点功能的对接建设。需按节点流程梳理相关数据字段和字典的对照关系，完成相关工作人员获取审核名单，确认其参保缴费需要的相关信息，接受就促审核的老年补贴补缴信息，通过相关补缴类原子业务保存到企业职工基本养老保险全国统筹信息系统，并实现没有社会保险账户的老年补贴人员的参保建账。</t>
  </si>
  <si>
    <t>外来从业人员综合保险-老年补贴补缴人员汇总</t>
  </si>
  <si>
    <t>建设老年补贴补缴人员汇总事项包括汇总共1个节点，实现老年补贴人员因补缴以后需要实现汇总信息推送保险公司，可通过人社经办大厅（RA）渠道完成汇总操作。系统需要同时收集相关经办材料，待事项完成后发起相关归档工作。
本次建设涉及汇总共计1个节点功能的对接建设。需按节点流程梳理相关数据字段和字典的对照关系，完成相关工作人员定期汇总已确认的老年补贴补缴信息，形成数据切片，系统生成名单推送保险公司。待保险公司确认其支付保单金额，用于推送税务征收。</t>
  </si>
  <si>
    <t>外来从业人员综合保险-老年补贴补缴金额拆分</t>
  </si>
  <si>
    <t>建设老年补贴补缴金额拆分事项包括拆分共1个节点，实现老年补贴人员因补缴需要实现金额拆分推送税务处理，可通过人社经办大厅（RA）渠道，完成金额拆分推送税务操作。系统需要同时收集相关经办材料，待事项完成后发起相关归档工作。
本次建设涉及共计1个节点功能的对接建设。需按节点流程梳理相关数据字段和字典的对照关系，完成相关工作人员根据保险公司反馈数据，比对人员明细和划转金额，对于补缴时不满退休年限的按照规则拆分养老保险，医疗保险金额，并生成具体的税务推送信息，按计划推送税务，由税务向保险公司征收老年补贴补缴金额。</t>
  </si>
  <si>
    <t>外来从业人员综合保险-老年补贴一次性补缴</t>
  </si>
  <si>
    <t>建设老年补贴一次性补缴事项包括申请共1个节点，实现老年补贴补缴人员因对接综保参保人员补缴后，到达法定退休年龄仍不满最低缴费年限后申请一次性补足业务。可通过随申办APP、人社经办大厅（RA）渠道，完成老年补贴一次性补缴业务。系统需要同时收集相关经办材料，待事项完成后发起相关归档工作。
本次建设涉及申请共计1个节点功能的对接建设。需按节点流程梳理相关数据字段和字典的对照关系，实现已完成老年补贴补缴的人员，可按照老年补贴补缴加老年补贴一次性补缴不超3年，不超老年补贴缴费年限，不超本市最低缴费年限原则，进行一次性特殊补缴。完成后由社保部门审核确认，并将相关征收信息推送税务，由税务向一次性补缴主体征收相关费用。</t>
  </si>
  <si>
    <t>外来从业人员综合保险-老年补贴综合查询</t>
  </si>
  <si>
    <t>建设老年补贴综合查询事项,在随申办APP上查询展示综合养老保险汇总查询功能（组合外来人员太平洋保险和中国人寿保险汇总数据，包含缴费月数汇总）、综合养老保险汇总缓存功能（支持调用外部保险公司实时信息读取）、综合养老保险保险公司展示数据功能（对保险公司给到的数据进行清洗解析展示）、综合养老保险合并不同用户数据功能（进行清算）、综合养老保险查询实时计算功能（计算可置换多少补贴金额）、综合养老保险保险公司列表汇总数据功能（对保险公司给到的数据解析成列表，为市民提供便利）、综合养老保险太平洋保险更新本地库数据领取状态功能、综合养老保险中国人寿保险更新本地库数据领取状态等。</t>
  </si>
  <si>
    <t>外来从业人员综合保险-老年补贴退还</t>
  </si>
  <si>
    <t>建设老年补贴退还事项包括申请共1个节点，实现购买老年补贴人员因老年补贴补缴的需要实现已领取保单的退还操作，可通过随申办APP渠道，完成老年补贴退还操作，老年补贴相关的保险公司操作具体退还申请时读退还申请，进行保单退还工作。系统需要同时收集相关经办材料，待事项完成后发起相关归档工作。
本次建设涉及申请共计1个节点功能的对接建设。需按节点流程梳理相关数据字段和字典的对照关系，完成通过与部中心交互比对个人异地养老情况，通过保险公司接口筛查保单状态，比对本市人员相关缴费信息的参保状态，以确认保单的退还资格。</t>
  </si>
  <si>
    <t>外来从业人员综合保险-老年补贴补缴人员养老待遇成批清算</t>
  </si>
  <si>
    <t>建设老年补贴补缴人员养老待遇成批清算事项包括查询导出、批量清算共2个节点，实现养老待遇人员因老年补贴补缴需要实现养老待遇清算增加补缴对应的养老金，可通过人社经办大厅（RA）渠道，完成老年补贴补缴人员养老待遇的成批清算。
本次建设涉及查询导出、批量清算共计2个节点功能的对接建设。需按节点流程梳理相关数据字段和字典的对照关系，完成数据查询、条件判断的数据源切换；梳理数据保存的处理逻辑，进行原子业务编排并使用原子业务调用方式接入部级风控，实现业务数据的入库工作。
查询导出：根据查询类型、区县、单位登记码、证件类型、证件号码、是否已调整、调整年月，作为查询条件查询符合条件的批量数据，查询类型选择为“查询人员范围”或“查询清算结果”时，查询结果可导出成excel，查询条件选择“查询清算范围”时，可点击按钮“提交清算范围”，数据提交至后台处理
批量清算：对“查询导出节点”提交的清算范围，后台批量生成清算事项，并计算养老金结果，同时根据补缴实收年月，生成对应的补发信息，调整的基本月养老金=（退休时上年度全口径城镇单位就业人员月平均工资+退休时本人指数化月平均工资）/2*补缴年限*1%（补缴年限不足整年的，剩余月数按照每个月0.083%计发）+补缴记入的个人账户储存额/退休时本人计发月数。其中退休时本人指数化月平均工资=月平均工资*0.6（退休时本人指数化月平均工资按0.6指数计算），2011年前退休人员按同规则计算。2006年12月及其之前的退休人员，增加退休金和账户养老金。2006年12月及其之前退职人员，增加退职费和账户养老金。2007年1月及其之后退休（职）人员，增加基础养老金和账户养老金</t>
  </si>
  <si>
    <t>外来从业人员综合保险-老年补贴参保登记类服务</t>
  </si>
  <si>
    <t>建设老年补贴人员部中台数据初始化服务，部中台参保建账服务、部中台社保应征信息生成服务，通过正常业务数据服务调用，实现老年补贴与社会保险的衔接工作。</t>
  </si>
  <si>
    <t>外来从业人员综合保险-老年补贴信息推送服务</t>
  </si>
  <si>
    <t>建设建账、补缴、一次性补缴等与税务数据交互的服务，人社向医保推送建账、补缴信息，处理税务返回的单位收款信息，配对人员明细以及处理税务返回的特殊征集信息并按人员记账。以确保与税务、医保等相关部门的信息同步，确保综合保险老年补贴人员的相关权益。</t>
  </si>
  <si>
    <t>外来从业人员综合保险-老年补贴保险公司对接服务</t>
  </si>
  <si>
    <t>包括电子保单文件（pdf），查询老年补贴保单状态和信息，老年补贴保单锁定，老年补贴划转人员明细，实现与2家保险公司的信息交互，包括电子保单的申请和文件返回，保单状态的查询，保单明细的查询，通知保险公司锁定账户准备给付，核对具体锁定人员生成划转名单，获取具体明细与划转金额。</t>
  </si>
  <si>
    <t>失业人员全维度帮扶</t>
  </si>
  <si>
    <t>失业人员全维度帮扶-失业帮扶人员画像</t>
  </si>
  <si>
    <r>
      <rPr>
        <b/>
        <sz val="11"/>
        <color rgb="FF000000"/>
        <rFont val="等线"/>
        <charset val="134"/>
      </rPr>
      <t>构建失业人员画像，包括的姓名、性别、年龄、身份证号、联系方式、家庭住址等基本身份信息，以及学历、专业、毕业院校等教育背景信息。根据以上信息进行按</t>
    </r>
    <r>
      <rPr>
        <b/>
        <sz val="11"/>
        <color rgb="FFFF0000"/>
        <rFont val="等线"/>
        <charset val="134"/>
      </rPr>
      <t>权重进行评分</t>
    </r>
    <r>
      <rPr>
        <b/>
        <sz val="11"/>
        <color rgb="FF000000"/>
        <rFont val="等线"/>
        <charset val="134"/>
      </rPr>
      <t>。把帮扶人员进行分级分类，将对九类重点人员实施精准帮扶。</t>
    </r>
  </si>
  <si>
    <t>失业人员全维度帮扶-失业人员全维度帮扶</t>
  </si>
  <si>
    <r>
      <rPr>
        <b/>
        <sz val="11"/>
        <color rgb="FF000000"/>
        <rFont val="等线"/>
        <charset val="134"/>
      </rPr>
      <t>根据失业人员画像进行和职业指导、技能培训、创业扶持、</t>
    </r>
    <r>
      <rPr>
        <b/>
        <sz val="11"/>
        <color rgb="FFFF0000"/>
        <rFont val="等线"/>
        <charset val="134"/>
      </rPr>
      <t>就业补贴等进行智能匹配</t>
    </r>
    <r>
      <rPr>
        <b/>
        <sz val="11"/>
        <color rgb="FF000000"/>
        <rFont val="等线"/>
        <charset val="134"/>
      </rPr>
      <t>。同时将帮扶对象后续帮扶信息和各个对应业务科室</t>
    </r>
    <r>
      <rPr>
        <b/>
        <sz val="11"/>
        <color rgb="FFFF0000"/>
        <rFont val="等线"/>
        <charset val="134"/>
      </rPr>
      <t>进行推送</t>
    </r>
    <r>
      <rPr>
        <b/>
        <sz val="11"/>
        <color rgb="FF000000"/>
        <rFont val="等线"/>
        <charset val="134"/>
      </rPr>
      <t>，达到精准帮扶。责任帮扶科室，对失业人员帮扶后记录本次帮扶内容，帮扶完成后结束流程，如未完成帮扶，则退回重新摸排分配。达到帮扶全流程跟踪和闭环。</t>
    </r>
  </si>
  <si>
    <t>推送，用帮扶记录同步内网解释，智能匹配等待调研</t>
  </si>
  <si>
    <t>失业人员全维度帮扶-失业人员就业服务全称跟踪、评价反馈</t>
  </si>
  <si>
    <r>
      <rPr>
        <b/>
        <sz val="11"/>
        <color rgb="FF000000"/>
        <rFont val="等线"/>
        <charset val="134"/>
      </rPr>
      <t>每次指导结束后，指导师在系统上填写指导记录，包括指导的重点内容、失业人员的参与情况、存在的问题及建议等。失业人员也可对指导效果进行</t>
    </r>
    <r>
      <rPr>
        <b/>
        <sz val="11"/>
        <color rgb="FFFF0000"/>
        <rFont val="等线"/>
        <charset val="134"/>
      </rPr>
      <t>评价和反馈(随申办渠道)</t>
    </r>
    <r>
      <rPr>
        <b/>
        <sz val="11"/>
        <color rgb="FF000000"/>
        <rFont val="等线"/>
        <charset val="134"/>
      </rPr>
      <t>。</t>
    </r>
  </si>
  <si>
    <t>失业人员全维度帮扶-企业培训电子档案</t>
  </si>
  <si>
    <t>企业用户基本情况包括名称、类别(如国有企业、民营企业、外资企业等)统一信用代码、所属区、所属行业等。系统对统一信用代码进行唯一性验证。企业可维护自身可开展的培训资源信息，包括培训项目类型、名称、等级。系统支持添加、修改和删除培训资源信息。企业可记录可评价的项目情况，包括职业工种名称、等级、备案有效期。当备案有效期临近时，系统自动提醒企业更新信息。企业可记录开展的职工职业培训情况，包括培训类型(内部培训、委托培训等)、时间、职业工种名称、等级和参训员工名册。企业记录享受的培训补贴情况，包括享受的类型、项目名称、等级、时间和金额。对企业进行培训评分、分级分类。</t>
  </si>
  <si>
    <t>失业人员全维度帮扶-劳动者电子档案</t>
  </si>
  <si>
    <r>
      <rPr>
        <b/>
        <sz val="11"/>
        <color rgb="FF000000"/>
        <rFont val="等线"/>
        <charset val="134"/>
      </rPr>
      <t>劳动者电子档案包括文化教育程度、人员类别（或就业状态）、从业情况（从业记录和所属行业）、职业技能培训情况（参加的培训项目类型、名称、等级和时间，获证情况）、</t>
    </r>
    <r>
      <rPr>
        <b/>
        <sz val="11"/>
        <color rgb="FFFF0000"/>
        <rFont val="等线"/>
        <charset val="134"/>
      </rPr>
      <t>享受补贴的情况（享受的类型、项目名称，等级，时间，金额）。对劳动者进行分级分类管理。</t>
    </r>
  </si>
  <si>
    <t>失业人员全维度帮扶-培训机构电子档案</t>
  </si>
  <si>
    <r>
      <rPr>
        <b/>
        <sz val="11"/>
        <color rgb="FF000000"/>
        <rFont val="等线"/>
        <charset val="134"/>
      </rPr>
      <t>培训机构电子档案包含培训机构的基本情况（名称，</t>
    </r>
    <r>
      <rPr>
        <b/>
        <sz val="11"/>
        <color rgb="FFFF0000"/>
        <rFont val="等线"/>
        <charset val="134"/>
      </rPr>
      <t>类别</t>
    </r>
    <r>
      <rPr>
        <b/>
        <sz val="11"/>
        <color rgb="FF000000"/>
        <rFont val="等线"/>
        <charset val="134"/>
      </rPr>
      <t>，统一信用代码，</t>
    </r>
    <r>
      <rPr>
        <b/>
        <sz val="11"/>
        <color rgb="FFFF0000"/>
        <rFont val="等线"/>
        <charset val="134"/>
      </rPr>
      <t>许可证编号</t>
    </r>
    <r>
      <rPr>
        <b/>
        <sz val="11"/>
        <color rgb="FF000000"/>
        <rFont val="等线"/>
        <charset val="134"/>
      </rPr>
      <t>，培训机构类型，所属区，</t>
    </r>
    <r>
      <rPr>
        <b/>
        <sz val="11"/>
        <color rgb="FFFF0000"/>
        <rFont val="等线"/>
        <charset val="134"/>
      </rPr>
      <t>证照备案有效期等</t>
    </r>
    <r>
      <rPr>
        <b/>
        <sz val="11"/>
        <color rgb="FF000000"/>
        <rFont val="等线"/>
        <charset val="134"/>
      </rPr>
      <t>），可开展的培训资源（备案的培训项目类型，名称，等级，</t>
    </r>
    <r>
      <rPr>
        <b/>
        <sz val="11"/>
        <color rgb="FFFF0000"/>
        <rFont val="等线"/>
        <charset val="134"/>
      </rPr>
      <t>备案有效期</t>
    </r>
    <r>
      <rPr>
        <b/>
        <sz val="11"/>
        <color rgb="FF000000"/>
        <rFont val="等线"/>
        <charset val="134"/>
      </rPr>
      <t>，培训周期，</t>
    </r>
    <r>
      <rPr>
        <b/>
        <sz val="11"/>
        <color rgb="FFFF0000"/>
        <rFont val="等线"/>
        <charset val="134"/>
      </rPr>
      <t>收费</t>
    </r>
    <r>
      <rPr>
        <b/>
        <sz val="11"/>
        <color rgb="FF000000"/>
        <rFont val="等线"/>
        <charset val="134"/>
      </rPr>
      <t>等），</t>
    </r>
    <r>
      <rPr>
        <b/>
        <sz val="11"/>
        <color rgb="FFFF0000"/>
        <rFont val="等线"/>
        <charset val="134"/>
      </rPr>
      <t>开展的职业培训情况（类型，时间，职业工种名称，等级，班级学员名册），享受补贴的情况（享受的类型、项目名称，等级，时间，金额）。对培训机构进行分级分类管理。</t>
    </r>
  </si>
  <si>
    <t>失业人员全维度帮扶-岗位描述智能识别</t>
  </si>
  <si>
    <t>通过大模型自然语言处理，根据岗位描述的文本信息，自动识别推理出结构化信息。包含有职位名称、职位分类、雇佣类型、所属行业、工作年限、学历要求等。
应用场景：招聘系统发布职位，自动识别信息快速填入页面中。</t>
  </si>
  <si>
    <t>通过查询界面展示AI解析结果</t>
  </si>
  <si>
    <t>失业人员全维度帮扶-岗位画像智能生成</t>
  </si>
  <si>
    <t>基于岗位基础信息、职类归属及岗位描述文本，通过AI大模型推理引擎自动构建岗位要求画像：
1、基本信息矩阵：学历要求、性别要求、年龄要求、期望城市、工作年限要求、第一学历要求、专业要求。
2、岗位技能标签：结合岗位描述文本分析，从技能库匹配适配的硬技能与软技能标签。
3、从业经验标签：根据岗位描述文本分析，从业经验库匹配适配的标签。
应用场景：招聘系统自动生成岗位要求画像，并可展示于岗位详情页面，后续基于画像匹配适配的人才。</t>
  </si>
  <si>
    <t>失业人员全维度帮扶-岗位权重智能配置</t>
  </si>
  <si>
    <t>岗位要求画像的各因子提供双重权重配置模式实现精准人岗适配。
1、智能解析模式
通过自然语言处理技术，解析岗位描述，自动识别关键描述词频产生权重比例。
2、手动配置模式
可对岗位要求画像的各因子，手动调整权重比例，支持权重比例可视化调整。</t>
  </si>
  <si>
    <t>通过查询界面展示AI解析结果，权重接口待确认</t>
  </si>
  <si>
    <t>失业人员全维度帮扶-画像标签库</t>
  </si>
  <si>
    <r>
      <rPr>
        <b/>
        <sz val="11"/>
        <color rgb="FF000000"/>
        <rFont val="等线"/>
        <charset val="134"/>
      </rPr>
      <t>基于一级二级三级职类库构建岗位技能标签库、从业经验标签库。
会有相应的管理界面来增删改画像标签库，画像标签库是后续推理的基础。结合大模型应用，将画像标签库原始数据转换为模型训练语料数据，</t>
    </r>
    <r>
      <rPr>
        <b/>
        <sz val="11"/>
        <color rgb="FFFF0000"/>
        <rFont val="等线"/>
        <charset val="134"/>
      </rPr>
      <t>形成预处理数据训练集、验证集、测试集，开展数据并行训练和参数调优</t>
    </r>
    <r>
      <rPr>
        <b/>
        <sz val="11"/>
        <color rgb="FF000000"/>
        <rFont val="等线"/>
        <charset val="134"/>
      </rPr>
      <t>。</t>
    </r>
  </si>
  <si>
    <t>标签库增删改差接口</t>
  </si>
  <si>
    <t>失业人员全维度帮扶-岗位摘要智能生成</t>
  </si>
  <si>
    <t>基于岗位描述及核心要素智能提炼生成100字以内标准摘要，包含"岗位要求+核心技能+发展空间"的介绍内容。
应用场景：面向求职者快速展示介绍职位的特点，提炼可宣读的60秒精简版本。</t>
  </si>
  <si>
    <t>提供接口查询就行</t>
  </si>
  <si>
    <t>失业人员全维度帮扶-智能简历解析</t>
  </si>
  <si>
    <r>
      <rPr>
        <b/>
        <sz val="11"/>
        <color rgb="FF000000"/>
        <rFont val="等线"/>
        <charset val="134"/>
      </rPr>
      <t>根据求职人员的简历文件，支持AI智能推理解析出结构化的信息，支持多种简历文件格式，如PDF、DOCX等。
应用场景：求职人员基于已有的简历文件，快速解析出结构化的信息，支持</t>
    </r>
    <r>
      <rPr>
        <b/>
        <sz val="11"/>
        <color rgb="FFFF0000"/>
        <rFont val="等线"/>
        <charset val="134"/>
      </rPr>
      <t>自动填写</t>
    </r>
    <r>
      <rPr>
        <b/>
        <sz val="11"/>
        <color rgb="FF000000"/>
        <rFont val="等线"/>
        <charset val="134"/>
      </rPr>
      <t>。</t>
    </r>
  </si>
  <si>
    <t>提供简历结构，待核对字段</t>
  </si>
  <si>
    <t>失业人员全维度帮扶-求职人员画像生成</t>
  </si>
  <si>
    <t>基于多维度人员数据分析，自动生成结构化求职人员职业能力画像。包含基础信息模块、技能标签模块、从业经验标签模块。
应用场景：精准识别求职人员的核心就业优势，通过岗位推荐就业。</t>
  </si>
  <si>
    <t>提供简历解析结果查询接口</t>
  </si>
  <si>
    <t>失业人员全维度帮扶-智能简历生成</t>
  </si>
  <si>
    <t>基于AIGC技术实现的动态简历构建，根据用户信息及输入内容，自动智能生成简历，支持导出简历PDF文件。
应用场景：针对没有简历的帮扶人员，提供自动生成简历功能，同时可以导出下载PDF文件。</t>
  </si>
  <si>
    <t>失业人员全维度帮扶-岗位匹配算法</t>
  </si>
  <si>
    <t>基于多维度动态权重算法实现岗位与求职者的智能匹配，构建三级筛选机制提升就业对接精准度。
硬性要求过滤：岗位“硬性要求”意味者失业帮扶人员条件不符合时一票否决而不匹配，系统根据职位画像要求确定硬性因子。
优先条件加权:岗位“优先要求”意味着候选人符合该条件就会视为更加匹配，从而优先推荐。
动态权重适配：针对人岗匹配采用多维度权重适配度算法。
对就业困难人员和离校未就业毕业生提高人岗适配度分数，额外适当加分，在人岗匹配排序中优先位置。</t>
  </si>
  <si>
    <t>失业人员全维度帮扶-就业困难标识配置</t>
  </si>
  <si>
    <t>帮扶人员画像中能甄别出就业困难，岗位补贴和社保补贴等就业困难、离校未就业高校毕业生相关信息。
对就业困难人员和离校未就业毕业生提高人岗适配度分数，额外适当加分，在人岗匹配排序中优先位置。</t>
  </si>
  <si>
    <t>失业人员全维度帮扶-高基地专区首页</t>
  </si>
  <si>
    <t>建立面向外网用户的综合性高技能人才培养基地专区门户，展示高基地相关内容，包括基地整体介绍、政策信息发布、管理公告通知等功能，为外部用户提供高基地的动态信息，同时支持内部管理操作</t>
  </si>
  <si>
    <t>类似于二级主页（实训二级主页）</t>
  </si>
  <si>
    <t>失业人员全维度帮扶-基地基础信息库</t>
  </si>
  <si>
    <t>建立高技能人才培养基地基础信息库，可对基地相关内容进行增加、删除和修改，包含基地名称、授牌批次、地理坐标、所属行业、主管部门、分管区等核心信息，支持分类管理、历史记录归档及实时数据更新，根据数据关联性实现校验录入数据准确性；由基地上报，由业务部门审核。</t>
  </si>
  <si>
    <t>初始化数据，规划基地基础信息表，可以增删改查，单位修改，区级审核；区级审核成功后，推送站内信告知市级管理员；建立修改维护日志信息。市级初始化基地基本信息》所分配的区级维护信息》基地填写详细信息》区级审核》推送站内信告知市级</t>
  </si>
  <si>
    <t>失业人员全维度帮扶-项目信息管理</t>
  </si>
  <si>
    <r>
      <t>建立高技能人才培养基地项目信息及文档管理库，可对项目基本信息及过程文档信息进行增加、删除和修改，支持实时更新与归档检索，记录建设进度、验收结果及资金明细，分类管理文档，</t>
    </r>
    <r>
      <rPr>
        <b/>
        <sz val="11"/>
        <color rgb="FFFF0000"/>
        <rFont val="等线"/>
        <charset val="134"/>
      </rPr>
      <t>支持权限控制、全文检索</t>
    </r>
    <r>
      <rPr>
        <b/>
        <sz val="11"/>
        <color rgb="FF000000"/>
        <rFont val="等线"/>
        <charset val="134"/>
      </rPr>
      <t>、在线预览及版本追溯，与项目/基地数据深度关联，实现实训项目全生命周期管理；项目各阶段的文档（启动、评审、过程、验收等文档）</t>
    </r>
  </si>
  <si>
    <t>进一步详细调研，基地上报的材料、规划项目信息填报表。标红字段为检索机构化数据。建立修改维护日志信息。</t>
  </si>
  <si>
    <t>失业人员全维度帮扶-数据转储</t>
  </si>
  <si>
    <t>将2012至今的历史项目按照新的数据结构进行转储，包括业务数据和项目材料。</t>
  </si>
  <si>
    <t>需要详细调研单个文件大小和历年总大小；现有历史数据没有信息化，只有纸质件和部分PDF。</t>
  </si>
  <si>
    <t>失业人员全维度帮扶-项目资产管理</t>
  </si>
  <si>
    <t>建立高技能人才培养基地新增资助项目资产管理模块，市区两级管理部门可以对资助资产记录（设备/师资/教材等）进行增加、删除和修改；申报单位可对资助资金购置的固定资产（设备、教材等）的记录相关信息（设备名称、设备型号、放置位置、照片等）、使用状态（闲置、在用、报废等）情况进行维护，并对资产使用频率、统计设备使用率、服务企业数量等指标进行填报</t>
  </si>
  <si>
    <t>规划项目资助资产信息填报表，先针对新资助的项目建立管理流程，建立修改维护日志。</t>
  </si>
  <si>
    <t>失业人员全维度帮扶-项目资产报告及预警</t>
  </si>
  <si>
    <t>申报单位可生成资产效益分析报告（如单台设备年均培训人次）；可配置预警规则，系统根据填报信息盘点并进行差异预警，由申报单位对问题进行情况说明，市区两级部门进行说明审核。</t>
  </si>
  <si>
    <t>每个设备有使用次数要求，原有没有信息化数据支持，只有纸质件。规划资产效益填报表。</t>
  </si>
  <si>
    <t>失业人员全维度帮扶-年报计划填报</t>
  </si>
  <si>
    <t>建立高技能人才培养基地新增资助项目年报计划填写工作流，系统提供标准化年报模板（含目标任务完成情况、项目管理效能运行情况、后续运行计划等），申报单位可以按年报模板对年报计划进行增加、删除和修改。上级主管部门、属地区人社部门可以在线审核并反馈修改意见。</t>
  </si>
  <si>
    <t>基地填报，区县审核</t>
  </si>
  <si>
    <t>失业人员全维度帮扶-年报预警</t>
  </si>
  <si>
    <t>系统可实现历年数据对比（如年培训人次等），设置预警阈值，识别异常波动，生成基地单位相关报表，可以按条件查询导出</t>
  </si>
  <si>
    <t>针对年度计划，设置阀值</t>
  </si>
  <si>
    <t>失业人员全维度帮扶-运行绩效管理</t>
  </si>
  <si>
    <t>建立高技能人才培养基地新增资助项目运行绩效管理模块，市区两级管理部门根据资助项目情况设置绩效评价指标，申报单位可以对应绩效考核指标内容进行填报，并对年度绩效评估材料进行增加、删除和修改</t>
  </si>
  <si>
    <t>根据前面项目管理、资产管理、年度计划进行综合评价，具体评分规则后续给出。</t>
  </si>
  <si>
    <t>失业人员全维度帮扶-绩效监控和整整改</t>
  </si>
  <si>
    <t>可配置预警指标规则，系统定期监控基地运行数据，对不达标的基地单位预警，申报单位需在规定时间内提交整改报告，并报送相关信息至属地区人社部门确认后方可实现闭环。</t>
  </si>
  <si>
    <t>失业人员全维度帮扶-高基地运行状况分析</t>
  </si>
  <si>
    <t>建立高基地运行态势分析模块，可通过对高技能人才培养基地资助项目的数量、金额、区属、行业分类、建设周期、绩效产出等情况，整合多模块数据，根据用户需求，支持创建个性化的数据分析仪表盘，将关键指标和重要图表集中展示，提供图表看板功能，方便快速了解整体情况，对资源利用率、绩效等多维度进行态势分析，为开展高基地相关工作及制定资助决策提供参考。建立高基地业务可视化分析模块，在公共就业服务子系统高基地专区呈现中屏的可视化界面，集成多模块业务数据与交互式图表（柱状图/雷达图等），对历年资助资金，行业分类，高技能人才培育情况，高技能人才基地建设情况、、高基地基本情况、资助项目情况等进行可视化分析展示，辅助成果展示与决策。</t>
  </si>
  <si>
    <t>密码应用改造-密码应用改造</t>
  </si>
  <si>
    <t>针对本次建设内容进行相应的密码应用改造</t>
  </si>
  <si>
    <t>报价内容</t>
  </si>
  <si>
    <t>金额</t>
  </si>
  <si>
    <t>供应商</t>
  </si>
  <si>
    <t>总额</t>
  </si>
  <si>
    <t>上海市社会保险全国统筹全险种业务“大管控”系统</t>
  </si>
  <si>
    <t>全险种业务对接改造及相关功能适配改造</t>
  </si>
  <si>
    <t>万达信息股份有限公司</t>
  </si>
  <si>
    <t>上海人社“一网通办”改革行动及就业服务相关工作</t>
  </si>
  <si>
    <t>通办事项、外来从业人员综合保险</t>
  </si>
  <si>
    <t>集成服务费</t>
  </si>
  <si>
    <t>按项目的10%计算</t>
  </si>
  <si>
    <t>外包管理费</t>
  </si>
  <si>
    <t>数股10%、网新5%、CA10%</t>
  </si>
  <si>
    <t>统计报表、决策分析</t>
  </si>
  <si>
    <t>上海市大数据股份有限公司</t>
  </si>
  <si>
    <t>通办事项、失业帮扶</t>
  </si>
  <si>
    <t>上海市劳动关系智慧预警系统（一期）</t>
  </si>
  <si>
    <t>劳动关系智慧预警、劳动仲裁智能化提升等</t>
  </si>
  <si>
    <t>浙江网新恩普软件有限公司</t>
  </si>
  <si>
    <t>城市建设者权益保障链</t>
  </si>
  <si>
    <t>上海市数字证书认证中心有限公司</t>
  </si>
  <si>
    <t>模块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</si>
</sst>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1"/>
      <color indexed="8"/>
      <name val="等线"/>
      <charset val="134"/>
    </font>
    <font>
      <sz val="9"/>
      <color indexed="8"/>
      <name val="微软雅黑"/>
      <charset val="134"/>
    </font>
    <font>
      <b/>
      <sz val="11"/>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FF0000"/>
      <name val="等线"/>
      <charset val="134"/>
    </font>
  </fonts>
  <fills count="36">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7"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
      <left/>
      <right/>
      <top style="thin">
        <color indexed="0"/>
      </top>
      <bottom style="thin">
        <color indexed="0"/>
      </bottom>
      <diagonal/>
    </border>
    <border>
      <left/>
      <right style="thin">
        <color indexed="0"/>
      </right>
      <top style="thin">
        <color indexed="0"/>
      </top>
      <bottom style="thin">
        <color indexed="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0"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1" applyNumberFormat="0" applyFill="0" applyAlignment="0" applyProtection="0">
      <alignment vertical="center"/>
    </xf>
    <xf numFmtId="0" fontId="10" fillId="0" borderId="11" applyNumberFormat="0" applyFill="0" applyAlignment="0" applyProtection="0">
      <alignment vertical="center"/>
    </xf>
    <xf numFmtId="0" fontId="11" fillId="0" borderId="12" applyNumberFormat="0" applyFill="0" applyAlignment="0" applyProtection="0">
      <alignment vertical="center"/>
    </xf>
    <xf numFmtId="0" fontId="11" fillId="0" borderId="0" applyNumberFormat="0" applyFill="0" applyBorder="0" applyAlignment="0" applyProtection="0">
      <alignment vertical="center"/>
    </xf>
    <xf numFmtId="0" fontId="12" fillId="7" borderId="13" applyNumberFormat="0" applyAlignment="0" applyProtection="0">
      <alignment vertical="center"/>
    </xf>
    <xf numFmtId="0" fontId="13" fillId="8" borderId="14" applyNumberFormat="0" applyAlignment="0" applyProtection="0">
      <alignment vertical="center"/>
    </xf>
    <xf numFmtId="0" fontId="14" fillId="8" borderId="13" applyNumberFormat="0" applyAlignment="0" applyProtection="0">
      <alignment vertical="center"/>
    </xf>
    <xf numFmtId="0" fontId="15" fillId="9" borderId="15" applyNumberFormat="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2"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1" fillId="0" borderId="0">
      <alignment vertical="center"/>
    </xf>
    <xf numFmtId="43" fontId="1" fillId="0" borderId="0" applyFont="0" applyFill="0" applyBorder="0" applyAlignment="0" applyProtection="0">
      <alignment vertical="center"/>
    </xf>
  </cellStyleXfs>
  <cellXfs count="54">
    <xf numFmtId="0" fontId="0" fillId="0" borderId="0" xfId="0">
      <alignment vertical="center"/>
    </xf>
    <xf numFmtId="0" fontId="0" fillId="2" borderId="1" xfId="0" applyFont="1" applyFill="1" applyBorder="1">
      <alignment vertical="center"/>
    </xf>
    <xf numFmtId="0" fontId="0" fillId="0" borderId="1" xfId="0" applyBorder="1" applyAlignment="1">
      <alignment horizontal="center" vertical="center"/>
    </xf>
    <xf numFmtId="0" fontId="1" fillId="3" borderId="1" xfId="49" applyFont="1" applyFill="1" applyBorder="1" applyAlignment="1">
      <alignment horizontal="center" vertical="center" wrapText="1"/>
    </xf>
    <xf numFmtId="0" fontId="0" fillId="0" borderId="1" xfId="0" applyBorder="1">
      <alignment vertical="center"/>
    </xf>
    <xf numFmtId="0" fontId="1" fillId="0" borderId="2" xfId="49" applyBorder="1" applyAlignment="1">
      <alignment horizontal="center" vertical="center" wrapText="1"/>
    </xf>
    <xf numFmtId="0" fontId="1" fillId="0" borderId="3" xfId="49" applyBorder="1" applyAlignment="1">
      <alignment horizontal="center" vertical="center" wrapText="1"/>
    </xf>
    <xf numFmtId="0" fontId="1" fillId="0" borderId="4" xfId="49" applyBorder="1" applyAlignment="1">
      <alignment horizontal="center" vertical="center" wrapText="1"/>
    </xf>
    <xf numFmtId="0" fontId="1" fillId="0" borderId="2" xfId="49" applyFont="1" applyBorder="1" applyAlignment="1">
      <alignment horizontal="center" vertical="center" wrapText="1"/>
    </xf>
    <xf numFmtId="0" fontId="1" fillId="0" borderId="5" xfId="49" applyFill="1" applyBorder="1" applyAlignment="1">
      <alignment horizontal="center" vertical="center" wrapText="1"/>
    </xf>
    <xf numFmtId="0" fontId="1" fillId="0" borderId="6" xfId="49" applyBorder="1" applyAlignment="1">
      <alignment horizontal="center" vertical="center" wrapText="1"/>
    </xf>
    <xf numFmtId="0" fontId="0" fillId="0" borderId="6" xfId="0" applyBorder="1" applyAlignment="1">
      <alignment horizontal="center" vertical="center"/>
    </xf>
    <xf numFmtId="0" fontId="0" fillId="0" borderId="0" xfId="0" applyAlignment="1">
      <alignment horizontal="center" vertical="center"/>
    </xf>
    <xf numFmtId="0" fontId="1" fillId="0" borderId="0" xfId="49" applyBorder="1" applyAlignment="1">
      <alignment horizontal="center" vertical="center" wrapText="1"/>
    </xf>
    <xf numFmtId="0" fontId="0" fillId="0" borderId="0" xfId="0" applyBorder="1" applyAlignment="1">
      <alignment horizontal="center" vertical="center"/>
    </xf>
    <xf numFmtId="0" fontId="0" fillId="3" borderId="0" xfId="0" applyFill="1">
      <alignment vertical="center"/>
    </xf>
    <xf numFmtId="0" fontId="0" fillId="4"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1" fillId="0" borderId="0" xfId="49" applyFont="1" applyBorder="1" applyAlignment="1">
      <alignment horizontal="center" vertical="center" wrapText="1"/>
    </xf>
    <xf numFmtId="0" fontId="2" fillId="0" borderId="7" xfId="49" applyFont="1" applyBorder="1">
      <alignment vertical="center"/>
    </xf>
    <xf numFmtId="0" fontId="2" fillId="0" borderId="7" xfId="49" applyFont="1" applyBorder="1" applyAlignment="1">
      <alignment horizontal="left" vertical="center" wrapText="1"/>
    </xf>
    <xf numFmtId="0" fontId="1" fillId="0" borderId="2" xfId="49" applyBorder="1" applyAlignment="1">
      <alignment horizontal="left" vertical="center" wrapText="1"/>
    </xf>
    <xf numFmtId="0" fontId="2" fillId="0" borderId="8" xfId="49" applyFont="1" applyBorder="1" applyAlignment="1">
      <alignment horizontal="left" vertical="center"/>
    </xf>
    <xf numFmtId="0" fontId="2" fillId="0" borderId="8" xfId="49" applyFont="1" applyBorder="1" applyAlignment="1">
      <alignment horizontal="left" vertical="center" wrapText="1"/>
    </xf>
    <xf numFmtId="0" fontId="2" fillId="0" borderId="9" xfId="49" applyFont="1" applyBorder="1" applyAlignment="1">
      <alignment horizontal="left" vertical="center" wrapText="1"/>
    </xf>
    <xf numFmtId="0" fontId="2" fillId="0" borderId="8" xfId="49" applyFont="1" applyBorder="1">
      <alignment vertical="center"/>
    </xf>
    <xf numFmtId="0" fontId="2" fillId="0" borderId="9" xfId="49" applyFont="1" applyBorder="1">
      <alignment vertical="center"/>
    </xf>
    <xf numFmtId="0" fontId="1" fillId="3" borderId="2" xfId="49" applyFill="1" applyBorder="1" applyAlignment="1">
      <alignment horizontal="center" vertical="center" wrapText="1"/>
    </xf>
    <xf numFmtId="0" fontId="1" fillId="3" borderId="2" xfId="49" applyFont="1" applyFill="1" applyBorder="1" applyAlignment="1">
      <alignment horizontal="center" vertical="center" wrapText="1"/>
    </xf>
    <xf numFmtId="0" fontId="1" fillId="3" borderId="2" xfId="49" applyFill="1" applyBorder="1" applyAlignment="1">
      <alignment horizontal="left" vertical="center" wrapText="1"/>
    </xf>
    <xf numFmtId="0" fontId="2" fillId="3" borderId="8" xfId="49" applyFont="1" applyFill="1" applyBorder="1" applyAlignment="1">
      <alignment horizontal="left" vertical="center"/>
    </xf>
    <xf numFmtId="0" fontId="2" fillId="3" borderId="7" xfId="49" applyFont="1" applyFill="1" applyBorder="1">
      <alignment vertical="center"/>
    </xf>
    <xf numFmtId="0" fontId="2" fillId="3" borderId="8" xfId="49" applyFont="1" applyFill="1" applyBorder="1">
      <alignment vertical="center"/>
    </xf>
    <xf numFmtId="0" fontId="2" fillId="3" borderId="9" xfId="49" applyFont="1" applyFill="1" applyBorder="1">
      <alignment vertical="center"/>
    </xf>
    <xf numFmtId="0" fontId="1" fillId="3" borderId="2" xfId="49" applyFont="1" applyFill="1" applyBorder="1" applyAlignment="1">
      <alignment horizontal="left" vertical="center" wrapText="1"/>
    </xf>
    <xf numFmtId="0" fontId="2" fillId="0" borderId="7" xfId="49" applyFont="1" applyBorder="1" applyAlignment="1">
      <alignment vertical="center" wrapText="1"/>
    </xf>
    <xf numFmtId="0" fontId="2" fillId="0" borderId="8" xfId="49" applyFont="1" applyBorder="1" applyAlignment="1">
      <alignment vertical="center" wrapText="1"/>
    </xf>
    <xf numFmtId="0" fontId="2" fillId="0" borderId="9" xfId="49" applyFont="1" applyBorder="1" applyAlignment="1">
      <alignment vertical="center" wrapText="1"/>
    </xf>
    <xf numFmtId="0" fontId="1" fillId="0" borderId="2" xfId="49" applyFont="1" applyBorder="1" applyAlignment="1">
      <alignment horizontal="left" vertical="center" wrapText="1"/>
    </xf>
    <xf numFmtId="0" fontId="3" fillId="0" borderId="2" xfId="49" applyFont="1" applyBorder="1" applyAlignment="1">
      <alignment horizontal="left" vertical="center" wrapText="1"/>
    </xf>
    <xf numFmtId="0" fontId="1" fillId="4" borderId="2" xfId="49" applyFill="1" applyBorder="1" applyAlignment="1">
      <alignment horizontal="center" vertical="center" wrapText="1"/>
    </xf>
    <xf numFmtId="0" fontId="1" fillId="4" borderId="2" xfId="49" applyFill="1" applyBorder="1" applyAlignment="1">
      <alignment horizontal="left" vertical="center" wrapText="1"/>
    </xf>
    <xf numFmtId="0" fontId="2" fillId="4" borderId="8" xfId="49" applyFont="1" applyFill="1" applyBorder="1" applyAlignment="1">
      <alignment horizontal="left" vertical="center"/>
    </xf>
    <xf numFmtId="0" fontId="2" fillId="4" borderId="7" xfId="49" applyFont="1" applyFill="1" applyBorder="1" applyAlignment="1">
      <alignment horizontal="left" vertical="center" wrapText="1"/>
    </xf>
    <xf numFmtId="0" fontId="2" fillId="4" borderId="8" xfId="49" applyFont="1" applyFill="1" applyBorder="1" applyAlignment="1">
      <alignment horizontal="left" vertical="center" wrapText="1"/>
    </xf>
    <xf numFmtId="0" fontId="2" fillId="4" borderId="9" xfId="49" applyFont="1" applyFill="1" applyBorder="1" applyAlignment="1">
      <alignment horizontal="left" vertical="center" wrapText="1"/>
    </xf>
    <xf numFmtId="0" fontId="3" fillId="4" borderId="2" xfId="49" applyFont="1" applyFill="1" applyBorder="1" applyAlignment="1">
      <alignment horizontal="left" vertical="center" wrapText="1"/>
    </xf>
    <xf numFmtId="0" fontId="1" fillId="5" borderId="2" xfId="49" applyFill="1" applyBorder="1" applyAlignment="1">
      <alignment horizontal="center" vertical="center" wrapText="1"/>
    </xf>
    <xf numFmtId="0" fontId="1" fillId="5" borderId="2" xfId="49" applyFill="1" applyBorder="1" applyAlignment="1">
      <alignment horizontal="left" vertical="center" wrapText="1"/>
    </xf>
    <xf numFmtId="0" fontId="2" fillId="5" borderId="8" xfId="49" applyFont="1" applyFill="1" applyBorder="1" applyAlignment="1">
      <alignment horizontal="left" vertical="center"/>
    </xf>
    <xf numFmtId="0" fontId="2" fillId="5" borderId="7" xfId="49" applyFont="1" applyFill="1" applyBorder="1" applyAlignment="1">
      <alignment horizontal="left" vertical="center" wrapText="1"/>
    </xf>
    <xf numFmtId="0" fontId="2" fillId="5" borderId="8" xfId="49" applyFont="1" applyFill="1" applyBorder="1" applyAlignment="1">
      <alignment horizontal="left" vertical="center" wrapText="1"/>
    </xf>
    <xf numFmtId="0" fontId="3" fillId="5" borderId="2" xfId="49" applyFont="1" applyFill="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千位分隔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512"/>
  <sheetViews>
    <sheetView tabSelected="1" zoomScale="85" zoomScaleNormal="85" topLeftCell="C490" workbookViewId="0">
      <selection activeCell="E492" sqref="E492:I492"/>
    </sheetView>
  </sheetViews>
  <sheetFormatPr defaultColWidth="9" defaultRowHeight="14"/>
  <cols>
    <col min="2" max="2" width="13.3333333333333" customWidth="1"/>
    <col min="3" max="3" width="37.1083333333333" style="17" customWidth="1"/>
    <col min="4" max="4" width="0.866666666666667" style="17" customWidth="1"/>
    <col min="5" max="8" width="9" style="18"/>
    <col min="9" max="9" width="67.4416666666667" style="18" customWidth="1"/>
    <col min="10" max="10" width="38.0416666666667" style="18" customWidth="1"/>
    <col min="11" max="11" width="9.10833333333333" customWidth="1"/>
  </cols>
  <sheetData>
    <row r="1" spans="1:12">
      <c r="A1" s="8" t="s">
        <v>0</v>
      </c>
      <c r="B1" s="19"/>
      <c r="C1" s="20"/>
      <c r="D1" s="20"/>
      <c r="E1" s="21"/>
      <c r="F1" s="21"/>
      <c r="G1" s="21"/>
      <c r="H1" s="21"/>
      <c r="I1" s="21"/>
      <c r="J1" s="21"/>
      <c r="K1" t="e">
        <f>SUBTOTAL(9,#REF!)</f>
        <v>#REF!</v>
      </c>
      <c r="L1" t="e">
        <f>SUBTOTAL(9,#REF!)</f>
        <v>#REF!</v>
      </c>
    </row>
    <row r="2" spans="1:12">
      <c r="A2" s="5" t="s">
        <v>1</v>
      </c>
      <c r="B2" s="5"/>
      <c r="C2" s="22" t="s">
        <v>2</v>
      </c>
      <c r="D2" s="23"/>
      <c r="E2" s="22" t="s">
        <v>3</v>
      </c>
      <c r="F2" s="21"/>
      <c r="G2" s="21"/>
      <c r="H2" s="21"/>
      <c r="I2" s="24"/>
      <c r="J2" s="25" t="s">
        <v>4</v>
      </c>
    </row>
    <row r="3" hidden="1" spans="1:12">
      <c r="A3" s="5" t="s">
        <v>5</v>
      </c>
      <c r="B3" s="5"/>
      <c r="C3" s="22" t="s">
        <v>6</v>
      </c>
      <c r="D3" s="23"/>
      <c r="E3" s="5" t="s">
        <v>7</v>
      </c>
      <c r="F3" s="20"/>
      <c r="G3" s="20"/>
      <c r="H3" s="20"/>
      <c r="I3" s="26"/>
      <c r="J3" s="27"/>
    </row>
    <row r="4" hidden="1" spans="1:12">
      <c r="A4" s="5" t="s">
        <v>8</v>
      </c>
      <c r="B4" s="5"/>
      <c r="C4" s="22" t="s">
        <v>9</v>
      </c>
      <c r="D4" s="23"/>
      <c r="E4" s="5" t="s">
        <v>10</v>
      </c>
      <c r="F4" s="20"/>
      <c r="G4" s="20"/>
      <c r="H4" s="20"/>
      <c r="I4" s="26"/>
      <c r="J4" s="27"/>
    </row>
    <row r="5" hidden="1" spans="1:12">
      <c r="A5" s="5" t="s">
        <v>11</v>
      </c>
      <c r="B5" s="5"/>
      <c r="C5" s="22" t="s">
        <v>12</v>
      </c>
      <c r="D5" s="23"/>
      <c r="E5" s="5" t="s">
        <v>13</v>
      </c>
      <c r="F5" s="20"/>
      <c r="G5" s="20"/>
      <c r="H5" s="20"/>
      <c r="I5" s="26"/>
      <c r="J5" s="27"/>
    </row>
    <row r="6" hidden="1" spans="1:12">
      <c r="A6" s="5" t="s">
        <v>14</v>
      </c>
      <c r="B6" s="5"/>
      <c r="C6" s="22" t="s">
        <v>15</v>
      </c>
      <c r="D6" s="23"/>
      <c r="E6" s="5" t="s">
        <v>16</v>
      </c>
      <c r="F6" s="20"/>
      <c r="G6" s="20"/>
      <c r="H6" s="20"/>
      <c r="I6" s="26"/>
      <c r="J6" s="27"/>
    </row>
    <row r="7" hidden="1" spans="1:12">
      <c r="A7" s="5" t="s">
        <v>17</v>
      </c>
      <c r="B7" s="5"/>
      <c r="C7" s="22" t="s">
        <v>18</v>
      </c>
      <c r="D7" s="23"/>
      <c r="E7" s="5" t="s">
        <v>19</v>
      </c>
      <c r="F7" s="20"/>
      <c r="G7" s="20"/>
      <c r="H7" s="20"/>
      <c r="I7" s="26"/>
      <c r="J7" s="27"/>
    </row>
    <row r="8" hidden="1" spans="1:12">
      <c r="A8" s="5" t="s">
        <v>20</v>
      </c>
      <c r="B8" s="5"/>
      <c r="C8" s="22" t="s">
        <v>21</v>
      </c>
      <c r="D8" s="23"/>
      <c r="E8" s="5" t="s">
        <v>22</v>
      </c>
      <c r="F8" s="20"/>
      <c r="G8" s="20"/>
      <c r="H8" s="20"/>
      <c r="I8" s="26"/>
      <c r="J8" s="27"/>
    </row>
    <row r="9" hidden="1" spans="1:12">
      <c r="A9" s="5" t="s">
        <v>23</v>
      </c>
      <c r="B9" s="5"/>
      <c r="C9" s="22" t="s">
        <v>24</v>
      </c>
      <c r="D9" s="23"/>
      <c r="E9" s="5" t="s">
        <v>25</v>
      </c>
      <c r="F9" s="20"/>
      <c r="G9" s="20"/>
      <c r="H9" s="20"/>
      <c r="I9" s="26"/>
      <c r="J9" s="27"/>
    </row>
    <row r="10" hidden="1" spans="1:12">
      <c r="A10" s="5" t="s">
        <v>26</v>
      </c>
      <c r="B10" s="5"/>
      <c r="C10" s="22" t="s">
        <v>27</v>
      </c>
      <c r="D10" s="23"/>
      <c r="E10" s="5" t="s">
        <v>28</v>
      </c>
      <c r="F10" s="20"/>
      <c r="G10" s="20"/>
      <c r="H10" s="20"/>
      <c r="I10" s="26"/>
      <c r="J10" s="27"/>
    </row>
    <row r="11" hidden="1" spans="1:12">
      <c r="A11" s="5" t="s">
        <v>29</v>
      </c>
      <c r="B11" s="5"/>
      <c r="C11" s="22" t="s">
        <v>30</v>
      </c>
      <c r="D11" s="23"/>
      <c r="E11" s="5" t="s">
        <v>31</v>
      </c>
      <c r="F11" s="20"/>
      <c r="G11" s="20"/>
      <c r="H11" s="20"/>
      <c r="I11" s="26"/>
      <c r="J11" s="27"/>
    </row>
    <row r="12" hidden="1" spans="1:12">
      <c r="A12" s="5" t="s">
        <v>32</v>
      </c>
      <c r="B12" s="5"/>
      <c r="C12" s="22" t="s">
        <v>33</v>
      </c>
      <c r="D12" s="23"/>
      <c r="E12" s="5" t="s">
        <v>34</v>
      </c>
      <c r="F12" s="20"/>
      <c r="G12" s="20"/>
      <c r="H12" s="20"/>
      <c r="I12" s="26"/>
      <c r="J12" s="27"/>
    </row>
    <row r="13" hidden="1" spans="1:12">
      <c r="A13" s="5" t="s">
        <v>35</v>
      </c>
      <c r="B13" s="5"/>
      <c r="C13" s="22" t="s">
        <v>36</v>
      </c>
      <c r="D13" s="23"/>
      <c r="E13" s="5" t="s">
        <v>37</v>
      </c>
      <c r="F13" s="20"/>
      <c r="G13" s="20"/>
      <c r="H13" s="20"/>
      <c r="I13" s="26"/>
      <c r="J13" s="27"/>
    </row>
    <row r="14" hidden="1" spans="1:12">
      <c r="A14" s="5" t="s">
        <v>38</v>
      </c>
      <c r="B14" s="5"/>
      <c r="C14" s="22" t="s">
        <v>39</v>
      </c>
      <c r="D14" s="23"/>
      <c r="E14" s="5" t="s">
        <v>40</v>
      </c>
      <c r="F14" s="20"/>
      <c r="G14" s="20"/>
      <c r="H14" s="20"/>
      <c r="I14" s="26"/>
      <c r="J14" s="27"/>
    </row>
    <row r="15" hidden="1" spans="1:12">
      <c r="A15" s="5" t="s">
        <v>41</v>
      </c>
      <c r="B15" s="5"/>
      <c r="C15" s="22" t="s">
        <v>42</v>
      </c>
      <c r="D15" s="23"/>
      <c r="E15" s="5" t="s">
        <v>43</v>
      </c>
      <c r="F15" s="20"/>
      <c r="G15" s="20"/>
      <c r="H15" s="20"/>
      <c r="I15" s="26"/>
      <c r="J15" s="27"/>
    </row>
    <row r="16" hidden="1" spans="1:12">
      <c r="A16" s="5" t="s">
        <v>44</v>
      </c>
      <c r="B16" s="5"/>
      <c r="C16" s="22" t="s">
        <v>45</v>
      </c>
      <c r="D16" s="23"/>
      <c r="E16" s="5" t="s">
        <v>46</v>
      </c>
      <c r="F16" s="20"/>
      <c r="G16" s="20"/>
      <c r="H16" s="20"/>
      <c r="I16" s="26"/>
      <c r="J16" s="27"/>
    </row>
    <row r="17" hidden="1" spans="1:10">
      <c r="A17" s="5" t="s">
        <v>47</v>
      </c>
      <c r="B17" s="5"/>
      <c r="C17" s="22" t="s">
        <v>48</v>
      </c>
      <c r="D17" s="23"/>
      <c r="E17" s="5" t="s">
        <v>49</v>
      </c>
      <c r="F17" s="20"/>
      <c r="G17" s="20"/>
      <c r="H17" s="20"/>
      <c r="I17" s="26"/>
      <c r="J17" s="27"/>
    </row>
    <row r="18" hidden="1" spans="1:10">
      <c r="A18" s="5" t="s">
        <v>50</v>
      </c>
      <c r="B18" s="5"/>
      <c r="C18" s="22" t="s">
        <v>51</v>
      </c>
      <c r="D18" s="23"/>
      <c r="E18" s="5" t="s">
        <v>52</v>
      </c>
      <c r="F18" s="20"/>
      <c r="G18" s="20"/>
      <c r="H18" s="20"/>
      <c r="I18" s="26"/>
      <c r="J18" s="27"/>
    </row>
    <row r="19" hidden="1" spans="1:10">
      <c r="A19" s="5" t="s">
        <v>53</v>
      </c>
      <c r="B19" s="5"/>
      <c r="C19" s="22" t="s">
        <v>54</v>
      </c>
      <c r="D19" s="23"/>
      <c r="E19" s="5" t="s">
        <v>55</v>
      </c>
      <c r="F19" s="20"/>
      <c r="G19" s="20"/>
      <c r="H19" s="20"/>
      <c r="I19" s="26"/>
      <c r="J19" s="27"/>
    </row>
    <row r="20" hidden="1" spans="1:10">
      <c r="A20" s="5" t="s">
        <v>56</v>
      </c>
      <c r="B20" s="5"/>
      <c r="C20" s="22" t="s">
        <v>57</v>
      </c>
      <c r="D20" s="23"/>
      <c r="E20" s="5" t="s">
        <v>58</v>
      </c>
      <c r="F20" s="20"/>
      <c r="G20" s="20"/>
      <c r="H20" s="20"/>
      <c r="I20" s="26"/>
      <c r="J20" s="27"/>
    </row>
    <row r="21" hidden="1" spans="1:10">
      <c r="A21" s="5" t="s">
        <v>59</v>
      </c>
      <c r="B21" s="5"/>
      <c r="C21" s="22" t="s">
        <v>60</v>
      </c>
      <c r="D21" s="23"/>
      <c r="E21" s="5" t="s">
        <v>61</v>
      </c>
      <c r="F21" s="20"/>
      <c r="G21" s="20"/>
      <c r="H21" s="20"/>
      <c r="I21" s="26"/>
      <c r="J21" s="27"/>
    </row>
    <row r="22" hidden="1" spans="1:10">
      <c r="A22" s="5" t="s">
        <v>62</v>
      </c>
      <c r="B22" s="5"/>
      <c r="C22" s="22" t="s">
        <v>63</v>
      </c>
      <c r="D22" s="23"/>
      <c r="E22" s="5" t="s">
        <v>64</v>
      </c>
      <c r="F22" s="20"/>
      <c r="G22" s="20"/>
      <c r="H22" s="20"/>
      <c r="I22" s="26"/>
      <c r="J22" s="27"/>
    </row>
    <row r="23" hidden="1" spans="1:10">
      <c r="A23" s="5" t="s">
        <v>65</v>
      </c>
      <c r="B23" s="5"/>
      <c r="C23" s="22" t="s">
        <v>66</v>
      </c>
      <c r="D23" s="23"/>
      <c r="E23" s="5" t="s">
        <v>67</v>
      </c>
      <c r="F23" s="20"/>
      <c r="G23" s="20"/>
      <c r="H23" s="20"/>
      <c r="I23" s="26"/>
      <c r="J23" s="27"/>
    </row>
    <row r="24" hidden="1" spans="1:10">
      <c r="A24" s="5" t="s">
        <v>68</v>
      </c>
      <c r="B24" s="5"/>
      <c r="C24" s="22" t="s">
        <v>69</v>
      </c>
      <c r="D24" s="23"/>
      <c r="E24" s="5" t="s">
        <v>70</v>
      </c>
      <c r="F24" s="20"/>
      <c r="G24" s="20"/>
      <c r="H24" s="20"/>
      <c r="I24" s="26"/>
      <c r="J24" s="27"/>
    </row>
    <row r="25" hidden="1" spans="1:10">
      <c r="A25" s="5" t="s">
        <v>71</v>
      </c>
      <c r="B25" s="5"/>
      <c r="C25" s="22" t="s">
        <v>72</v>
      </c>
      <c r="D25" s="23"/>
      <c r="E25" s="5" t="s">
        <v>73</v>
      </c>
      <c r="F25" s="20"/>
      <c r="G25" s="20"/>
      <c r="H25" s="20"/>
      <c r="I25" s="26"/>
      <c r="J25" s="27"/>
    </row>
    <row r="26" hidden="1" spans="1:10">
      <c r="A26" s="5" t="s">
        <v>74</v>
      </c>
      <c r="B26" s="5"/>
      <c r="C26" s="22" t="s">
        <v>75</v>
      </c>
      <c r="D26" s="23"/>
      <c r="E26" s="5" t="s">
        <v>76</v>
      </c>
      <c r="F26" s="20"/>
      <c r="G26" s="20"/>
      <c r="H26" s="20"/>
      <c r="I26" s="26"/>
      <c r="J26" s="27"/>
    </row>
    <row r="27" hidden="1" spans="1:10">
      <c r="A27" s="5" t="s">
        <v>77</v>
      </c>
      <c r="B27" s="5"/>
      <c r="C27" s="22" t="s">
        <v>78</v>
      </c>
      <c r="D27" s="23"/>
      <c r="E27" s="5" t="s">
        <v>79</v>
      </c>
      <c r="F27" s="20"/>
      <c r="G27" s="20"/>
      <c r="H27" s="20"/>
      <c r="I27" s="26"/>
      <c r="J27" s="27"/>
    </row>
    <row r="28" hidden="1" spans="1:10">
      <c r="A28" s="5" t="s">
        <v>80</v>
      </c>
      <c r="B28" s="5"/>
      <c r="C28" s="22" t="s">
        <v>81</v>
      </c>
      <c r="D28" s="23"/>
      <c r="E28" s="5" t="s">
        <v>82</v>
      </c>
      <c r="F28" s="20"/>
      <c r="G28" s="20"/>
      <c r="H28" s="20"/>
      <c r="I28" s="26"/>
      <c r="J28" s="27"/>
    </row>
    <row r="29" hidden="1" spans="1:10">
      <c r="A29" s="5" t="s">
        <v>83</v>
      </c>
      <c r="B29" s="5"/>
      <c r="C29" s="22" t="s">
        <v>84</v>
      </c>
      <c r="D29" s="23"/>
      <c r="E29" s="5" t="s">
        <v>85</v>
      </c>
      <c r="F29" s="20"/>
      <c r="G29" s="20"/>
      <c r="H29" s="20"/>
      <c r="I29" s="26"/>
      <c r="J29" s="27"/>
    </row>
    <row r="30" hidden="1" spans="1:10">
      <c r="A30" s="5" t="s">
        <v>86</v>
      </c>
      <c r="B30" s="5"/>
      <c r="C30" s="22" t="s">
        <v>87</v>
      </c>
      <c r="D30" s="23"/>
      <c r="E30" s="5" t="s">
        <v>88</v>
      </c>
      <c r="F30" s="20"/>
      <c r="G30" s="20"/>
      <c r="H30" s="20"/>
      <c r="I30" s="26"/>
      <c r="J30" s="27"/>
    </row>
    <row r="31" hidden="1" spans="1:10">
      <c r="A31" s="5" t="s">
        <v>89</v>
      </c>
      <c r="B31" s="5"/>
      <c r="C31" s="22" t="s">
        <v>90</v>
      </c>
      <c r="D31" s="23"/>
      <c r="E31" s="5" t="s">
        <v>91</v>
      </c>
      <c r="F31" s="20"/>
      <c r="G31" s="20"/>
      <c r="H31" s="20"/>
      <c r="I31" s="26"/>
      <c r="J31" s="27"/>
    </row>
    <row r="32" hidden="1" spans="1:10">
      <c r="A32" s="5" t="s">
        <v>92</v>
      </c>
      <c r="B32" s="5"/>
      <c r="C32" s="22" t="s">
        <v>93</v>
      </c>
      <c r="D32" s="23"/>
      <c r="E32" s="5" t="s">
        <v>94</v>
      </c>
      <c r="F32" s="20"/>
      <c r="G32" s="20"/>
      <c r="H32" s="20"/>
      <c r="I32" s="26"/>
      <c r="J32" s="27"/>
    </row>
    <row r="33" hidden="1" spans="1:10">
      <c r="A33" s="5" t="s">
        <v>95</v>
      </c>
      <c r="B33" s="5"/>
      <c r="C33" s="22" t="s">
        <v>96</v>
      </c>
      <c r="D33" s="23"/>
      <c r="E33" s="5" t="s">
        <v>97</v>
      </c>
      <c r="F33" s="20"/>
      <c r="G33" s="20"/>
      <c r="H33" s="20"/>
      <c r="I33" s="26"/>
      <c r="J33" s="27"/>
    </row>
    <row r="34" hidden="1" spans="1:10">
      <c r="A34" s="5" t="s">
        <v>98</v>
      </c>
      <c r="B34" s="5"/>
      <c r="C34" s="22" t="s">
        <v>99</v>
      </c>
      <c r="D34" s="23"/>
      <c r="E34" s="5" t="s">
        <v>100</v>
      </c>
      <c r="F34" s="20"/>
      <c r="G34" s="20"/>
      <c r="H34" s="20"/>
      <c r="I34" s="26"/>
      <c r="J34" s="27"/>
    </row>
    <row r="35" hidden="1" spans="1:10">
      <c r="A35" s="5" t="s">
        <v>101</v>
      </c>
      <c r="B35" s="5"/>
      <c r="C35" s="22" t="s">
        <v>102</v>
      </c>
      <c r="D35" s="23"/>
      <c r="E35" s="5" t="s">
        <v>103</v>
      </c>
      <c r="F35" s="20"/>
      <c r="G35" s="20"/>
      <c r="H35" s="20"/>
      <c r="I35" s="26"/>
      <c r="J35" s="27"/>
    </row>
    <row r="36" hidden="1" spans="1:10">
      <c r="A36" s="5" t="s">
        <v>104</v>
      </c>
      <c r="B36" s="5"/>
      <c r="C36" s="22" t="s">
        <v>105</v>
      </c>
      <c r="D36" s="23"/>
      <c r="E36" s="5" t="s">
        <v>106</v>
      </c>
      <c r="F36" s="20"/>
      <c r="G36" s="20"/>
      <c r="H36" s="20"/>
      <c r="I36" s="26"/>
      <c r="J36" s="27"/>
    </row>
    <row r="37" hidden="1" spans="1:10">
      <c r="A37" s="5" t="s">
        <v>107</v>
      </c>
      <c r="B37" s="5"/>
      <c r="C37" s="22" t="s">
        <v>108</v>
      </c>
      <c r="D37" s="23"/>
      <c r="E37" s="5" t="s">
        <v>109</v>
      </c>
      <c r="F37" s="20"/>
      <c r="G37" s="20"/>
      <c r="H37" s="20"/>
      <c r="I37" s="26"/>
      <c r="J37" s="27"/>
    </row>
    <row r="38" hidden="1" spans="1:10">
      <c r="A38" s="5" t="s">
        <v>110</v>
      </c>
      <c r="B38" s="5"/>
      <c r="C38" s="22" t="s">
        <v>111</v>
      </c>
      <c r="D38" s="23"/>
      <c r="E38" s="5" t="s">
        <v>112</v>
      </c>
      <c r="F38" s="20"/>
      <c r="G38" s="20"/>
      <c r="H38" s="20"/>
      <c r="I38" s="26"/>
      <c r="J38" s="27"/>
    </row>
    <row r="39" hidden="1" spans="1:10">
      <c r="A39" s="5" t="s">
        <v>113</v>
      </c>
      <c r="B39" s="5"/>
      <c r="C39" s="22" t="s">
        <v>114</v>
      </c>
      <c r="D39" s="23"/>
      <c r="E39" s="5" t="s">
        <v>115</v>
      </c>
      <c r="F39" s="20"/>
      <c r="G39" s="20"/>
      <c r="H39" s="20"/>
      <c r="I39" s="26"/>
      <c r="J39" s="27"/>
    </row>
    <row r="40" hidden="1" spans="1:10">
      <c r="A40" s="5" t="s">
        <v>116</v>
      </c>
      <c r="B40" s="5"/>
      <c r="C40" s="22" t="s">
        <v>117</v>
      </c>
      <c r="D40" s="23"/>
      <c r="E40" s="5" t="s">
        <v>118</v>
      </c>
      <c r="F40" s="20"/>
      <c r="G40" s="20"/>
      <c r="H40" s="20"/>
      <c r="I40" s="26"/>
      <c r="J40" s="27"/>
    </row>
    <row r="41" hidden="1" spans="1:10">
      <c r="A41" s="5" t="s">
        <v>119</v>
      </c>
      <c r="B41" s="5"/>
      <c r="C41" s="22" t="s">
        <v>120</v>
      </c>
      <c r="D41" s="23"/>
      <c r="E41" s="5" t="s">
        <v>121</v>
      </c>
      <c r="F41" s="20"/>
      <c r="G41" s="20"/>
      <c r="H41" s="20"/>
      <c r="I41" s="26"/>
      <c r="J41" s="27"/>
    </row>
    <row r="42" hidden="1" spans="1:10">
      <c r="A42" s="5" t="s">
        <v>122</v>
      </c>
      <c r="B42" s="5"/>
      <c r="C42" s="22" t="s">
        <v>123</v>
      </c>
      <c r="D42" s="23"/>
      <c r="E42" s="5" t="s">
        <v>124</v>
      </c>
      <c r="F42" s="20"/>
      <c r="G42" s="20"/>
      <c r="H42" s="20"/>
      <c r="I42" s="26"/>
      <c r="J42" s="27"/>
    </row>
    <row r="43" hidden="1" spans="1:10">
      <c r="A43" s="5" t="s">
        <v>125</v>
      </c>
      <c r="B43" s="5"/>
      <c r="C43" s="22" t="s">
        <v>126</v>
      </c>
      <c r="D43" s="23"/>
      <c r="E43" s="5" t="s">
        <v>127</v>
      </c>
      <c r="F43" s="20"/>
      <c r="G43" s="20"/>
      <c r="H43" s="20"/>
      <c r="I43" s="26"/>
      <c r="J43" s="27"/>
    </row>
    <row r="44" hidden="1" spans="1:10">
      <c r="A44" s="5" t="s">
        <v>128</v>
      </c>
      <c r="B44" s="5"/>
      <c r="C44" s="22" t="s">
        <v>129</v>
      </c>
      <c r="D44" s="23"/>
      <c r="E44" s="5" t="s">
        <v>130</v>
      </c>
      <c r="F44" s="20"/>
      <c r="G44" s="20"/>
      <c r="H44" s="20"/>
      <c r="I44" s="26"/>
      <c r="J44" s="27"/>
    </row>
    <row r="45" hidden="1" spans="1:10">
      <c r="A45" s="5" t="s">
        <v>131</v>
      </c>
      <c r="B45" s="5"/>
      <c r="C45" s="22" t="s">
        <v>132</v>
      </c>
      <c r="D45" s="23"/>
      <c r="E45" s="5" t="s">
        <v>133</v>
      </c>
      <c r="F45" s="20"/>
      <c r="G45" s="20"/>
      <c r="H45" s="20"/>
      <c r="I45" s="26"/>
      <c r="J45" s="27"/>
    </row>
    <row r="46" hidden="1" spans="1:10">
      <c r="A46" s="5" t="s">
        <v>134</v>
      </c>
      <c r="B46" s="5"/>
      <c r="C46" s="22" t="s">
        <v>135</v>
      </c>
      <c r="D46" s="23"/>
      <c r="E46" s="5" t="s">
        <v>136</v>
      </c>
      <c r="F46" s="20"/>
      <c r="G46" s="20"/>
      <c r="H46" s="20"/>
      <c r="I46" s="26"/>
      <c r="J46" s="27"/>
    </row>
    <row r="47" hidden="1" spans="1:10">
      <c r="A47" s="5" t="s">
        <v>137</v>
      </c>
      <c r="B47" s="5"/>
      <c r="C47" s="22" t="s">
        <v>138</v>
      </c>
      <c r="D47" s="23"/>
      <c r="E47" s="5" t="s">
        <v>139</v>
      </c>
      <c r="F47" s="20"/>
      <c r="G47" s="20"/>
      <c r="H47" s="20"/>
      <c r="I47" s="26"/>
      <c r="J47" s="27"/>
    </row>
    <row r="48" hidden="1" spans="1:10">
      <c r="A48" s="5" t="s">
        <v>140</v>
      </c>
      <c r="B48" s="5"/>
      <c r="C48" s="22" t="s">
        <v>141</v>
      </c>
      <c r="D48" s="23"/>
      <c r="E48" s="5" t="s">
        <v>142</v>
      </c>
      <c r="F48" s="20"/>
      <c r="G48" s="20"/>
      <c r="H48" s="20"/>
      <c r="I48" s="26"/>
      <c r="J48" s="27"/>
    </row>
    <row r="49" hidden="1" spans="1:10">
      <c r="A49" s="5" t="s">
        <v>143</v>
      </c>
      <c r="B49" s="5"/>
      <c r="C49" s="22" t="s">
        <v>144</v>
      </c>
      <c r="D49" s="23"/>
      <c r="E49" s="5" t="s">
        <v>145</v>
      </c>
      <c r="F49" s="20"/>
      <c r="G49" s="20"/>
      <c r="H49" s="20"/>
      <c r="I49" s="26"/>
      <c r="J49" s="27"/>
    </row>
    <row r="50" hidden="1" spans="1:10">
      <c r="A50" s="5" t="s">
        <v>146</v>
      </c>
      <c r="B50" s="5"/>
      <c r="C50" s="22" t="s">
        <v>147</v>
      </c>
      <c r="D50" s="23"/>
      <c r="E50" s="5" t="s">
        <v>148</v>
      </c>
      <c r="F50" s="20"/>
      <c r="G50" s="20"/>
      <c r="H50" s="20"/>
      <c r="I50" s="26"/>
      <c r="J50" s="27"/>
    </row>
    <row r="51" hidden="1" spans="1:10">
      <c r="A51" s="5" t="s">
        <v>149</v>
      </c>
      <c r="B51" s="5"/>
      <c r="C51" s="22" t="s">
        <v>150</v>
      </c>
      <c r="D51" s="23"/>
      <c r="E51" s="5" t="s">
        <v>151</v>
      </c>
      <c r="F51" s="20"/>
      <c r="G51" s="20"/>
      <c r="H51" s="20"/>
      <c r="I51" s="26"/>
      <c r="J51" s="27"/>
    </row>
    <row r="52" hidden="1" spans="1:10">
      <c r="A52" s="5" t="s">
        <v>152</v>
      </c>
      <c r="B52" s="5"/>
      <c r="C52" s="22" t="s">
        <v>153</v>
      </c>
      <c r="D52" s="23"/>
      <c r="E52" s="5" t="s">
        <v>154</v>
      </c>
      <c r="F52" s="20"/>
      <c r="G52" s="20"/>
      <c r="H52" s="20"/>
      <c r="I52" s="26"/>
      <c r="J52" s="27"/>
    </row>
    <row r="53" hidden="1" spans="1:10">
      <c r="A53" s="5" t="s">
        <v>155</v>
      </c>
      <c r="B53" s="5"/>
      <c r="C53" s="22" t="s">
        <v>156</v>
      </c>
      <c r="D53" s="23"/>
      <c r="E53" s="5" t="s">
        <v>157</v>
      </c>
      <c r="F53" s="20"/>
      <c r="G53" s="20"/>
      <c r="H53" s="20"/>
      <c r="I53" s="26"/>
      <c r="J53" s="27"/>
    </row>
    <row r="54" hidden="1" spans="1:10">
      <c r="A54" s="5" t="s">
        <v>158</v>
      </c>
      <c r="B54" s="5"/>
      <c r="C54" s="22" t="s">
        <v>159</v>
      </c>
      <c r="D54" s="23"/>
      <c r="E54" s="5" t="s">
        <v>160</v>
      </c>
      <c r="F54" s="20"/>
      <c r="G54" s="20"/>
      <c r="H54" s="20"/>
      <c r="I54" s="26"/>
      <c r="J54" s="27"/>
    </row>
    <row r="55" hidden="1" spans="1:10">
      <c r="A55" s="5" t="s">
        <v>161</v>
      </c>
      <c r="B55" s="5"/>
      <c r="C55" s="22" t="s">
        <v>162</v>
      </c>
      <c r="D55" s="23"/>
      <c r="E55" s="5" t="s">
        <v>163</v>
      </c>
      <c r="F55" s="20"/>
      <c r="G55" s="20"/>
      <c r="H55" s="20"/>
      <c r="I55" s="26"/>
      <c r="J55" s="27"/>
    </row>
    <row r="56" hidden="1" spans="1:10">
      <c r="A56" s="5" t="s">
        <v>164</v>
      </c>
      <c r="B56" s="5"/>
      <c r="C56" s="22" t="s">
        <v>165</v>
      </c>
      <c r="D56" s="23"/>
      <c r="E56" s="5" t="s">
        <v>166</v>
      </c>
      <c r="F56" s="20"/>
      <c r="G56" s="20"/>
      <c r="H56" s="20"/>
      <c r="I56" s="26"/>
      <c r="J56" s="27"/>
    </row>
    <row r="57" hidden="1" spans="1:10">
      <c r="A57" s="5" t="s">
        <v>167</v>
      </c>
      <c r="B57" s="5"/>
      <c r="C57" s="22" t="s">
        <v>168</v>
      </c>
      <c r="D57" s="23"/>
      <c r="E57" s="5" t="s">
        <v>169</v>
      </c>
      <c r="F57" s="20"/>
      <c r="G57" s="20"/>
      <c r="H57" s="20"/>
      <c r="I57" s="26"/>
      <c r="J57" s="27"/>
    </row>
    <row r="58" hidden="1" spans="1:10">
      <c r="A58" s="5" t="s">
        <v>170</v>
      </c>
      <c r="B58" s="5"/>
      <c r="C58" s="22" t="s">
        <v>171</v>
      </c>
      <c r="D58" s="23"/>
      <c r="E58" s="5" t="s">
        <v>172</v>
      </c>
      <c r="F58" s="20"/>
      <c r="G58" s="20"/>
      <c r="H58" s="20"/>
      <c r="I58" s="26"/>
      <c r="J58" s="27"/>
    </row>
    <row r="59" hidden="1" spans="1:10">
      <c r="A59" s="5" t="s">
        <v>173</v>
      </c>
      <c r="B59" s="5"/>
      <c r="C59" s="22" t="s">
        <v>174</v>
      </c>
      <c r="D59" s="23"/>
      <c r="E59" s="5" t="s">
        <v>175</v>
      </c>
      <c r="F59" s="20"/>
      <c r="G59" s="20"/>
      <c r="H59" s="20"/>
      <c r="I59" s="26"/>
      <c r="J59" s="27"/>
    </row>
    <row r="60" hidden="1" spans="1:10">
      <c r="A60" s="5" t="s">
        <v>176</v>
      </c>
      <c r="B60" s="5"/>
      <c r="C60" s="22" t="s">
        <v>177</v>
      </c>
      <c r="D60" s="23"/>
      <c r="E60" s="5" t="s">
        <v>178</v>
      </c>
      <c r="F60" s="20"/>
      <c r="G60" s="20"/>
      <c r="H60" s="20"/>
      <c r="I60" s="26"/>
      <c r="J60" s="27"/>
    </row>
    <row r="61" hidden="1" spans="1:10">
      <c r="A61" s="5" t="s">
        <v>179</v>
      </c>
      <c r="B61" s="5"/>
      <c r="C61" s="22" t="s">
        <v>180</v>
      </c>
      <c r="D61" s="23"/>
      <c r="E61" s="5" t="s">
        <v>181</v>
      </c>
      <c r="F61" s="20"/>
      <c r="G61" s="20"/>
      <c r="H61" s="20"/>
      <c r="I61" s="26"/>
      <c r="J61" s="27"/>
    </row>
    <row r="62" hidden="1" spans="1:10">
      <c r="A62" s="5" t="s">
        <v>182</v>
      </c>
      <c r="B62" s="5"/>
      <c r="C62" s="22" t="s">
        <v>183</v>
      </c>
      <c r="D62" s="23"/>
      <c r="E62" s="5" t="s">
        <v>184</v>
      </c>
      <c r="F62" s="20"/>
      <c r="G62" s="20"/>
      <c r="H62" s="20"/>
      <c r="I62" s="26"/>
      <c r="J62" s="27"/>
    </row>
    <row r="63" hidden="1" spans="1:10">
      <c r="A63" s="5" t="s">
        <v>185</v>
      </c>
      <c r="B63" s="5"/>
      <c r="C63" s="22" t="s">
        <v>186</v>
      </c>
      <c r="D63" s="23"/>
      <c r="E63" s="5" t="s">
        <v>187</v>
      </c>
      <c r="F63" s="20"/>
      <c r="G63" s="20"/>
      <c r="H63" s="20"/>
      <c r="I63" s="26"/>
      <c r="J63" s="27"/>
    </row>
    <row r="64" hidden="1" spans="1:10">
      <c r="A64" s="5" t="s">
        <v>188</v>
      </c>
      <c r="B64" s="5"/>
      <c r="C64" s="22" t="s">
        <v>189</v>
      </c>
      <c r="D64" s="23"/>
      <c r="E64" s="5" t="s">
        <v>190</v>
      </c>
      <c r="F64" s="20"/>
      <c r="G64" s="20"/>
      <c r="H64" s="20"/>
      <c r="I64" s="26"/>
      <c r="J64" s="27"/>
    </row>
    <row r="65" s="15" customFormat="1" hidden="1" spans="1:10">
      <c r="A65" s="28" t="s">
        <v>191</v>
      </c>
      <c r="B65" s="29" t="s">
        <v>192</v>
      </c>
      <c r="C65" s="30" t="s">
        <v>193</v>
      </c>
      <c r="D65" s="31"/>
      <c r="E65" s="28" t="s">
        <v>194</v>
      </c>
      <c r="F65" s="32"/>
      <c r="G65" s="32"/>
      <c r="H65" s="32"/>
      <c r="I65" s="33"/>
      <c r="J65" s="34"/>
    </row>
    <row r="66" s="15" customFormat="1" hidden="1" spans="1:10">
      <c r="A66" s="28" t="s">
        <v>195</v>
      </c>
      <c r="B66" s="29" t="s">
        <v>192</v>
      </c>
      <c r="C66" s="30" t="s">
        <v>196</v>
      </c>
      <c r="D66" s="31"/>
      <c r="E66" s="28" t="s">
        <v>197</v>
      </c>
      <c r="F66" s="32"/>
      <c r="G66" s="32"/>
      <c r="H66" s="32"/>
      <c r="I66" s="33"/>
      <c r="J66" s="34"/>
    </row>
    <row r="67" s="15" customFormat="1" hidden="1" spans="1:10">
      <c r="A67" s="28" t="s">
        <v>198</v>
      </c>
      <c r="B67" s="29" t="s">
        <v>192</v>
      </c>
      <c r="C67" s="30" t="s">
        <v>199</v>
      </c>
      <c r="D67" s="31"/>
      <c r="E67" s="28" t="s">
        <v>200</v>
      </c>
      <c r="F67" s="32"/>
      <c r="G67" s="32"/>
      <c r="H67" s="32"/>
      <c r="I67" s="33"/>
      <c r="J67" s="34"/>
    </row>
    <row r="68" s="15" customFormat="1" hidden="1" spans="1:10">
      <c r="A68" s="28" t="s">
        <v>201</v>
      </c>
      <c r="B68" s="29" t="s">
        <v>192</v>
      </c>
      <c r="C68" s="30" t="s">
        <v>202</v>
      </c>
      <c r="D68" s="31"/>
      <c r="E68" s="28" t="s">
        <v>203</v>
      </c>
      <c r="F68" s="32"/>
      <c r="G68" s="32"/>
      <c r="H68" s="32"/>
      <c r="I68" s="33"/>
      <c r="J68" s="34"/>
    </row>
    <row r="69" s="15" customFormat="1" hidden="1" spans="1:10">
      <c r="A69" s="28" t="s">
        <v>204</v>
      </c>
      <c r="B69" s="29" t="s">
        <v>192</v>
      </c>
      <c r="C69" s="30" t="s">
        <v>205</v>
      </c>
      <c r="D69" s="31"/>
      <c r="E69" s="28" t="s">
        <v>206</v>
      </c>
      <c r="F69" s="32"/>
      <c r="G69" s="32"/>
      <c r="H69" s="32"/>
      <c r="I69" s="33"/>
      <c r="J69" s="34"/>
    </row>
    <row r="70" s="15" customFormat="1" hidden="1" spans="1:10">
      <c r="A70" s="28" t="s">
        <v>207</v>
      </c>
      <c r="B70" s="29" t="s">
        <v>192</v>
      </c>
      <c r="C70" s="30" t="s">
        <v>208</v>
      </c>
      <c r="D70" s="31"/>
      <c r="E70" s="28" t="s">
        <v>209</v>
      </c>
      <c r="F70" s="32"/>
      <c r="G70" s="32"/>
      <c r="H70" s="32"/>
      <c r="I70" s="33"/>
      <c r="J70" s="34"/>
    </row>
    <row r="71" s="15" customFormat="1" hidden="1" spans="1:10">
      <c r="A71" s="28" t="s">
        <v>210</v>
      </c>
      <c r="B71" s="29" t="s">
        <v>192</v>
      </c>
      <c r="C71" s="30" t="s">
        <v>211</v>
      </c>
      <c r="D71" s="31"/>
      <c r="E71" s="28" t="s">
        <v>212</v>
      </c>
      <c r="F71" s="32"/>
      <c r="G71" s="32"/>
      <c r="H71" s="32"/>
      <c r="I71" s="33"/>
      <c r="J71" s="34"/>
    </row>
    <row r="72" s="15" customFormat="1" hidden="1" spans="1:10">
      <c r="A72" s="28" t="s">
        <v>213</v>
      </c>
      <c r="B72" s="29" t="s">
        <v>192</v>
      </c>
      <c r="C72" s="30" t="s">
        <v>214</v>
      </c>
      <c r="D72" s="31"/>
      <c r="E72" s="28" t="s">
        <v>215</v>
      </c>
      <c r="F72" s="32"/>
      <c r="G72" s="32"/>
      <c r="H72" s="32"/>
      <c r="I72" s="33"/>
      <c r="J72" s="34"/>
    </row>
    <row r="73" s="15" customFormat="1" hidden="1" spans="1:10">
      <c r="A73" s="28" t="s">
        <v>216</v>
      </c>
      <c r="B73" s="29" t="s">
        <v>192</v>
      </c>
      <c r="C73" s="30" t="s">
        <v>217</v>
      </c>
      <c r="D73" s="31"/>
      <c r="E73" s="28" t="s">
        <v>218</v>
      </c>
      <c r="F73" s="32"/>
      <c r="G73" s="32"/>
      <c r="H73" s="32"/>
      <c r="I73" s="33"/>
      <c r="J73" s="34"/>
    </row>
    <row r="74" s="15" customFormat="1" hidden="1" spans="1:10">
      <c r="A74" s="28" t="s">
        <v>219</v>
      </c>
      <c r="B74" s="29" t="s">
        <v>192</v>
      </c>
      <c r="C74" s="30" t="s">
        <v>220</v>
      </c>
      <c r="D74" s="31"/>
      <c r="E74" s="28" t="s">
        <v>221</v>
      </c>
      <c r="F74" s="32"/>
      <c r="G74" s="32"/>
      <c r="H74" s="32"/>
      <c r="I74" s="33"/>
      <c r="J74" s="34"/>
    </row>
    <row r="75" s="15" customFormat="1" hidden="1" spans="1:10">
      <c r="A75" s="28" t="s">
        <v>222</v>
      </c>
      <c r="B75" s="29" t="s">
        <v>192</v>
      </c>
      <c r="C75" s="30" t="s">
        <v>223</v>
      </c>
      <c r="D75" s="31"/>
      <c r="E75" s="28" t="s">
        <v>224</v>
      </c>
      <c r="F75" s="32"/>
      <c r="G75" s="32"/>
      <c r="H75" s="32"/>
      <c r="I75" s="33"/>
      <c r="J75" s="34"/>
    </row>
    <row r="76" s="15" customFormat="1" hidden="1" spans="1:10">
      <c r="A76" s="28" t="s">
        <v>225</v>
      </c>
      <c r="B76" s="29" t="s">
        <v>192</v>
      </c>
      <c r="C76" s="30" t="s">
        <v>226</v>
      </c>
      <c r="D76" s="31"/>
      <c r="E76" s="28" t="s">
        <v>227</v>
      </c>
      <c r="F76" s="32"/>
      <c r="G76" s="32"/>
      <c r="H76" s="32"/>
      <c r="I76" s="33"/>
      <c r="J76" s="34"/>
    </row>
    <row r="77" s="15" customFormat="1" hidden="1" spans="1:10">
      <c r="A77" s="28" t="s">
        <v>228</v>
      </c>
      <c r="B77" s="29" t="s">
        <v>192</v>
      </c>
      <c r="C77" s="30" t="s">
        <v>229</v>
      </c>
      <c r="D77" s="31"/>
      <c r="E77" s="28" t="s">
        <v>230</v>
      </c>
      <c r="F77" s="32"/>
      <c r="G77" s="32"/>
      <c r="H77" s="32"/>
      <c r="I77" s="33"/>
      <c r="J77" s="34"/>
    </row>
    <row r="78" s="15" customFormat="1" hidden="1" spans="1:10">
      <c r="A78" s="28" t="s">
        <v>231</v>
      </c>
      <c r="B78" s="29" t="s">
        <v>192</v>
      </c>
      <c r="C78" s="30" t="s">
        <v>232</v>
      </c>
      <c r="D78" s="31"/>
      <c r="E78" s="28" t="s">
        <v>233</v>
      </c>
      <c r="F78" s="32"/>
      <c r="G78" s="32"/>
      <c r="H78" s="32"/>
      <c r="I78" s="33"/>
      <c r="J78" s="34"/>
    </row>
    <row r="79" s="15" customFormat="1" hidden="1" spans="1:10">
      <c r="A79" s="28" t="s">
        <v>234</v>
      </c>
      <c r="B79" s="29" t="s">
        <v>192</v>
      </c>
      <c r="C79" s="30" t="s">
        <v>235</v>
      </c>
      <c r="D79" s="31"/>
      <c r="E79" s="28" t="s">
        <v>236</v>
      </c>
      <c r="F79" s="32"/>
      <c r="G79" s="32"/>
      <c r="H79" s="32"/>
      <c r="I79" s="33"/>
      <c r="J79" s="34"/>
    </row>
    <row r="80" s="15" customFormat="1" hidden="1" spans="1:10">
      <c r="A80" s="28" t="s">
        <v>237</v>
      </c>
      <c r="B80" s="29" t="s">
        <v>192</v>
      </c>
      <c r="C80" s="30" t="s">
        <v>238</v>
      </c>
      <c r="D80" s="31"/>
      <c r="E80" s="28" t="s">
        <v>239</v>
      </c>
      <c r="F80" s="32"/>
      <c r="G80" s="32"/>
      <c r="H80" s="32"/>
      <c r="I80" s="33"/>
      <c r="J80" s="34"/>
    </row>
    <row r="81" s="15" customFormat="1" hidden="1" spans="1:10">
      <c r="A81" s="28" t="s">
        <v>240</v>
      </c>
      <c r="B81" s="29" t="s">
        <v>192</v>
      </c>
      <c r="C81" s="30" t="s">
        <v>241</v>
      </c>
      <c r="D81" s="31"/>
      <c r="E81" s="28" t="s">
        <v>242</v>
      </c>
      <c r="F81" s="32"/>
      <c r="G81" s="32"/>
      <c r="H81" s="32"/>
      <c r="I81" s="33"/>
      <c r="J81" s="34"/>
    </row>
    <row r="82" s="15" customFormat="1" hidden="1" spans="1:10">
      <c r="A82" s="28" t="s">
        <v>243</v>
      </c>
      <c r="B82" s="29" t="s">
        <v>192</v>
      </c>
      <c r="C82" s="30" t="s">
        <v>244</v>
      </c>
      <c r="D82" s="31"/>
      <c r="E82" s="28" t="s">
        <v>245</v>
      </c>
      <c r="F82" s="32"/>
      <c r="G82" s="32"/>
      <c r="H82" s="32"/>
      <c r="I82" s="33"/>
      <c r="J82" s="34"/>
    </row>
    <row r="83" s="15" customFormat="1" hidden="1" spans="1:10">
      <c r="A83" s="28" t="s">
        <v>246</v>
      </c>
      <c r="B83" s="29" t="s">
        <v>192</v>
      </c>
      <c r="C83" s="30" t="s">
        <v>247</v>
      </c>
      <c r="D83" s="31"/>
      <c r="E83" s="28" t="s">
        <v>248</v>
      </c>
      <c r="F83" s="32"/>
      <c r="G83" s="32"/>
      <c r="H83" s="32"/>
      <c r="I83" s="33"/>
      <c r="J83" s="34"/>
    </row>
    <row r="84" s="15" customFormat="1" hidden="1" spans="1:10">
      <c r="A84" s="28" t="s">
        <v>249</v>
      </c>
      <c r="B84" s="29" t="s">
        <v>192</v>
      </c>
      <c r="C84" s="30" t="s">
        <v>250</v>
      </c>
      <c r="D84" s="31"/>
      <c r="E84" s="28" t="s">
        <v>251</v>
      </c>
      <c r="F84" s="32"/>
      <c r="G84" s="32"/>
      <c r="H84" s="32"/>
      <c r="I84" s="33"/>
      <c r="J84" s="34"/>
    </row>
    <row r="85" s="15" customFormat="1" hidden="1" spans="1:10">
      <c r="A85" s="28" t="s">
        <v>252</v>
      </c>
      <c r="B85" s="29" t="s">
        <v>192</v>
      </c>
      <c r="C85" s="30" t="s">
        <v>253</v>
      </c>
      <c r="D85" s="31"/>
      <c r="E85" s="28" t="s">
        <v>254</v>
      </c>
      <c r="F85" s="32"/>
      <c r="G85" s="32"/>
      <c r="H85" s="32"/>
      <c r="I85" s="33"/>
      <c r="J85" s="34"/>
    </row>
    <row r="86" s="15" customFormat="1" hidden="1" spans="1:10">
      <c r="A86" s="28" t="s">
        <v>255</v>
      </c>
      <c r="B86" s="29" t="s">
        <v>192</v>
      </c>
      <c r="C86" s="30" t="s">
        <v>256</v>
      </c>
      <c r="D86" s="31"/>
      <c r="E86" s="28" t="s">
        <v>257</v>
      </c>
      <c r="F86" s="32"/>
      <c r="G86" s="32"/>
      <c r="H86" s="32"/>
      <c r="I86" s="33"/>
      <c r="J86" s="34"/>
    </row>
    <row r="87" s="15" customFormat="1" hidden="1" spans="1:10">
      <c r="A87" s="28" t="s">
        <v>258</v>
      </c>
      <c r="B87" s="29" t="s">
        <v>192</v>
      </c>
      <c r="C87" s="30" t="s">
        <v>259</v>
      </c>
      <c r="D87" s="31"/>
      <c r="E87" s="28" t="s">
        <v>260</v>
      </c>
      <c r="F87" s="32"/>
      <c r="G87" s="32"/>
      <c r="H87" s="32"/>
      <c r="I87" s="33"/>
      <c r="J87" s="34"/>
    </row>
    <row r="88" s="15" customFormat="1" hidden="1" spans="1:10">
      <c r="A88" s="28" t="s">
        <v>261</v>
      </c>
      <c r="B88" s="29" t="s">
        <v>192</v>
      </c>
      <c r="C88" s="30" t="s">
        <v>262</v>
      </c>
      <c r="D88" s="31"/>
      <c r="E88" s="28" t="s">
        <v>263</v>
      </c>
      <c r="F88" s="32"/>
      <c r="G88" s="32"/>
      <c r="H88" s="32"/>
      <c r="I88" s="33"/>
      <c r="J88" s="34"/>
    </row>
    <row r="89" s="15" customFormat="1" hidden="1" spans="1:10">
      <c r="A89" s="28" t="s">
        <v>264</v>
      </c>
      <c r="B89" s="29" t="s">
        <v>192</v>
      </c>
      <c r="C89" s="30" t="s">
        <v>265</v>
      </c>
      <c r="D89" s="31"/>
      <c r="E89" s="28" t="s">
        <v>266</v>
      </c>
      <c r="F89" s="32"/>
      <c r="G89" s="32"/>
      <c r="H89" s="32"/>
      <c r="I89" s="33"/>
      <c r="J89" s="34"/>
    </row>
    <row r="90" s="15" customFormat="1" hidden="1" spans="1:10">
      <c r="A90" s="28" t="s">
        <v>267</v>
      </c>
      <c r="B90" s="29" t="s">
        <v>192</v>
      </c>
      <c r="C90" s="30" t="s">
        <v>268</v>
      </c>
      <c r="D90" s="31"/>
      <c r="E90" s="28" t="s">
        <v>269</v>
      </c>
      <c r="F90" s="32"/>
      <c r="G90" s="32"/>
      <c r="H90" s="32"/>
      <c r="I90" s="33"/>
      <c r="J90" s="34"/>
    </row>
    <row r="91" s="15" customFormat="1" hidden="1" spans="1:10">
      <c r="A91" s="28" t="s">
        <v>270</v>
      </c>
      <c r="B91" s="29" t="s">
        <v>192</v>
      </c>
      <c r="C91" s="30" t="s">
        <v>271</v>
      </c>
      <c r="D91" s="31"/>
      <c r="E91" s="28" t="s">
        <v>272</v>
      </c>
      <c r="F91" s="32"/>
      <c r="G91" s="32"/>
      <c r="H91" s="32"/>
      <c r="I91" s="33"/>
      <c r="J91" s="34"/>
    </row>
    <row r="92" s="15" customFormat="1" hidden="1" spans="1:10">
      <c r="A92" s="28" t="s">
        <v>273</v>
      </c>
      <c r="B92" s="29" t="s">
        <v>192</v>
      </c>
      <c r="C92" s="30" t="s">
        <v>274</v>
      </c>
      <c r="D92" s="31"/>
      <c r="E92" s="28" t="s">
        <v>275</v>
      </c>
      <c r="F92" s="32"/>
      <c r="G92" s="32"/>
      <c r="H92" s="32"/>
      <c r="I92" s="33"/>
      <c r="J92" s="34"/>
    </row>
    <row r="93" s="15" customFormat="1" hidden="1" spans="1:10">
      <c r="A93" s="28" t="s">
        <v>276</v>
      </c>
      <c r="B93" s="29" t="s">
        <v>192</v>
      </c>
      <c r="C93" s="30" t="s">
        <v>277</v>
      </c>
      <c r="D93" s="31"/>
      <c r="E93" s="28" t="s">
        <v>278</v>
      </c>
      <c r="F93" s="32"/>
      <c r="G93" s="32"/>
      <c r="H93" s="32"/>
      <c r="I93" s="33"/>
      <c r="J93" s="34"/>
    </row>
    <row r="94" s="15" customFormat="1" hidden="1" spans="1:10">
      <c r="A94" s="28" t="s">
        <v>279</v>
      </c>
      <c r="B94" s="29" t="s">
        <v>192</v>
      </c>
      <c r="C94" s="30" t="s">
        <v>280</v>
      </c>
      <c r="D94" s="31"/>
      <c r="E94" s="28" t="s">
        <v>281</v>
      </c>
      <c r="F94" s="32"/>
      <c r="G94" s="32"/>
      <c r="H94" s="32"/>
      <c r="I94" s="33"/>
      <c r="J94" s="34"/>
    </row>
    <row r="95" s="15" customFormat="1" hidden="1" spans="1:10">
      <c r="A95" s="28" t="s">
        <v>282</v>
      </c>
      <c r="B95" s="29" t="s">
        <v>192</v>
      </c>
      <c r="C95" s="30" t="s">
        <v>283</v>
      </c>
      <c r="D95" s="31"/>
      <c r="E95" s="28" t="s">
        <v>284</v>
      </c>
      <c r="F95" s="32"/>
      <c r="G95" s="32"/>
      <c r="H95" s="32"/>
      <c r="I95" s="33"/>
      <c r="J95" s="34"/>
    </row>
    <row r="96" s="15" customFormat="1" hidden="1" spans="1:10">
      <c r="A96" s="28" t="s">
        <v>285</v>
      </c>
      <c r="B96" s="29" t="s">
        <v>192</v>
      </c>
      <c r="C96" s="30" t="s">
        <v>286</v>
      </c>
      <c r="D96" s="31"/>
      <c r="E96" s="28" t="s">
        <v>287</v>
      </c>
      <c r="F96" s="32"/>
      <c r="G96" s="32"/>
      <c r="H96" s="32"/>
      <c r="I96" s="33"/>
      <c r="J96" s="34"/>
    </row>
    <row r="97" s="15" customFormat="1" hidden="1" spans="1:10">
      <c r="A97" s="28" t="s">
        <v>288</v>
      </c>
      <c r="B97" s="29" t="s">
        <v>192</v>
      </c>
      <c r="C97" s="30" t="s">
        <v>289</v>
      </c>
      <c r="D97" s="31"/>
      <c r="E97" s="28" t="s">
        <v>290</v>
      </c>
      <c r="F97" s="32"/>
      <c r="G97" s="32"/>
      <c r="H97" s="32"/>
      <c r="I97" s="33"/>
      <c r="J97" s="34"/>
    </row>
    <row r="98" s="15" customFormat="1" hidden="1" spans="1:10">
      <c r="A98" s="28" t="s">
        <v>291</v>
      </c>
      <c r="B98" s="29" t="s">
        <v>192</v>
      </c>
      <c r="C98" s="30" t="s">
        <v>292</v>
      </c>
      <c r="D98" s="31"/>
      <c r="E98" s="28" t="s">
        <v>293</v>
      </c>
      <c r="F98" s="32"/>
      <c r="G98" s="32"/>
      <c r="H98" s="32"/>
      <c r="I98" s="33"/>
      <c r="J98" s="34"/>
    </row>
    <row r="99" s="15" customFormat="1" hidden="1" spans="1:10">
      <c r="A99" s="28" t="s">
        <v>294</v>
      </c>
      <c r="B99" s="29" t="s">
        <v>192</v>
      </c>
      <c r="C99" s="30" t="s">
        <v>295</v>
      </c>
      <c r="D99" s="31"/>
      <c r="E99" s="28" t="s">
        <v>296</v>
      </c>
      <c r="F99" s="32"/>
      <c r="G99" s="32"/>
      <c r="H99" s="32"/>
      <c r="I99" s="33"/>
      <c r="J99" s="34"/>
    </row>
    <row r="100" s="15" customFormat="1" hidden="1" spans="1:10">
      <c r="A100" s="28" t="s">
        <v>297</v>
      </c>
      <c r="B100" s="29" t="s">
        <v>192</v>
      </c>
      <c r="C100" s="30" t="s">
        <v>298</v>
      </c>
      <c r="D100" s="31"/>
      <c r="E100" s="28" t="s">
        <v>299</v>
      </c>
      <c r="F100" s="32"/>
      <c r="G100" s="32"/>
      <c r="H100" s="32"/>
      <c r="I100" s="33"/>
      <c r="J100" s="34"/>
    </row>
    <row r="101" s="15" customFormat="1" hidden="1" spans="1:10">
      <c r="A101" s="28" t="s">
        <v>300</v>
      </c>
      <c r="B101" s="29" t="s">
        <v>192</v>
      </c>
      <c r="C101" s="30" t="s">
        <v>301</v>
      </c>
      <c r="D101" s="31"/>
      <c r="E101" s="28" t="s">
        <v>302</v>
      </c>
      <c r="F101" s="32"/>
      <c r="G101" s="32"/>
      <c r="H101" s="32"/>
      <c r="I101" s="33"/>
      <c r="J101" s="34"/>
    </row>
    <row r="102" s="15" customFormat="1" hidden="1" spans="1:10">
      <c r="A102" s="28" t="s">
        <v>303</v>
      </c>
      <c r="B102" s="29" t="s">
        <v>192</v>
      </c>
      <c r="C102" s="30" t="s">
        <v>304</v>
      </c>
      <c r="D102" s="31"/>
      <c r="E102" s="28" t="s">
        <v>305</v>
      </c>
      <c r="F102" s="32"/>
      <c r="G102" s="32"/>
      <c r="H102" s="32"/>
      <c r="I102" s="33"/>
      <c r="J102" s="34"/>
    </row>
    <row r="103" s="15" customFormat="1" hidden="1" spans="1:10">
      <c r="A103" s="28" t="s">
        <v>306</v>
      </c>
      <c r="B103" s="29" t="s">
        <v>192</v>
      </c>
      <c r="C103" s="30" t="s">
        <v>307</v>
      </c>
      <c r="D103" s="31"/>
      <c r="E103" s="28" t="s">
        <v>308</v>
      </c>
      <c r="F103" s="32"/>
      <c r="G103" s="32"/>
      <c r="H103" s="32"/>
      <c r="I103" s="33"/>
      <c r="J103" s="34"/>
    </row>
    <row r="104" s="15" customFormat="1" hidden="1" spans="1:10">
      <c r="A104" s="28" t="s">
        <v>309</v>
      </c>
      <c r="B104" s="29" t="s">
        <v>192</v>
      </c>
      <c r="C104" s="30" t="s">
        <v>310</v>
      </c>
      <c r="D104" s="31"/>
      <c r="E104" s="28" t="s">
        <v>311</v>
      </c>
      <c r="F104" s="32"/>
      <c r="G104" s="32"/>
      <c r="H104" s="32"/>
      <c r="I104" s="33"/>
      <c r="J104" s="34"/>
    </row>
    <row r="105" s="15" customFormat="1" hidden="1" spans="1:10">
      <c r="A105" s="28" t="s">
        <v>312</v>
      </c>
      <c r="B105" s="29" t="s">
        <v>192</v>
      </c>
      <c r="C105" s="30" t="s">
        <v>313</v>
      </c>
      <c r="D105" s="31"/>
      <c r="E105" s="28" t="s">
        <v>314</v>
      </c>
      <c r="F105" s="32"/>
      <c r="G105" s="32"/>
      <c r="H105" s="32"/>
      <c r="I105" s="33"/>
      <c r="J105" s="34"/>
    </row>
    <row r="106" s="15" customFormat="1" hidden="1" spans="1:10">
      <c r="A106" s="28" t="s">
        <v>315</v>
      </c>
      <c r="B106" s="29" t="s">
        <v>192</v>
      </c>
      <c r="C106" s="30" t="s">
        <v>316</v>
      </c>
      <c r="D106" s="31"/>
      <c r="E106" s="28" t="s">
        <v>317</v>
      </c>
      <c r="F106" s="32"/>
      <c r="G106" s="32"/>
      <c r="H106" s="32"/>
      <c r="I106" s="33"/>
      <c r="J106" s="34"/>
    </row>
    <row r="107" s="15" customFormat="1" hidden="1" spans="1:10">
      <c r="A107" s="28" t="s">
        <v>318</v>
      </c>
      <c r="B107" s="29" t="s">
        <v>192</v>
      </c>
      <c r="C107" s="30" t="s">
        <v>319</v>
      </c>
      <c r="D107" s="31"/>
      <c r="E107" s="28" t="s">
        <v>320</v>
      </c>
      <c r="F107" s="32"/>
      <c r="G107" s="32"/>
      <c r="H107" s="32"/>
      <c r="I107" s="33"/>
      <c r="J107" s="34"/>
    </row>
    <row r="108" s="15" customFormat="1" hidden="1" spans="1:10">
      <c r="A108" s="28" t="s">
        <v>321</v>
      </c>
      <c r="B108" s="29" t="s">
        <v>192</v>
      </c>
      <c r="C108" s="30" t="s">
        <v>322</v>
      </c>
      <c r="D108" s="31"/>
      <c r="E108" s="28" t="s">
        <v>323</v>
      </c>
      <c r="F108" s="32"/>
      <c r="G108" s="32"/>
      <c r="H108" s="32"/>
      <c r="I108" s="33"/>
      <c r="J108" s="34"/>
    </row>
    <row r="109" s="15" customFormat="1" hidden="1" spans="1:10">
      <c r="A109" s="28" t="s">
        <v>324</v>
      </c>
      <c r="B109" s="29" t="s">
        <v>192</v>
      </c>
      <c r="C109" s="30" t="s">
        <v>325</v>
      </c>
      <c r="D109" s="31"/>
      <c r="E109" s="28" t="s">
        <v>326</v>
      </c>
      <c r="F109" s="32"/>
      <c r="G109" s="32"/>
      <c r="H109" s="32"/>
      <c r="I109" s="33"/>
      <c r="J109" s="34"/>
    </row>
    <row r="110" s="15" customFormat="1" hidden="1" spans="1:10">
      <c r="A110" s="28" t="s">
        <v>327</v>
      </c>
      <c r="B110" s="29" t="s">
        <v>192</v>
      </c>
      <c r="C110" s="30" t="s">
        <v>328</v>
      </c>
      <c r="D110" s="31"/>
      <c r="E110" s="28" t="s">
        <v>329</v>
      </c>
      <c r="F110" s="32"/>
      <c r="G110" s="32"/>
      <c r="H110" s="32"/>
      <c r="I110" s="33"/>
      <c r="J110" s="34"/>
    </row>
    <row r="111" s="15" customFormat="1" hidden="1" spans="1:10">
      <c r="A111" s="28" t="s">
        <v>330</v>
      </c>
      <c r="B111" s="29" t="s">
        <v>192</v>
      </c>
      <c r="C111" s="30" t="s">
        <v>331</v>
      </c>
      <c r="D111" s="31"/>
      <c r="E111" s="28" t="s">
        <v>332</v>
      </c>
      <c r="F111" s="32"/>
      <c r="G111" s="32"/>
      <c r="H111" s="32"/>
      <c r="I111" s="33"/>
      <c r="J111" s="34"/>
    </row>
    <row r="112" s="15" customFormat="1" hidden="1" spans="1:10">
      <c r="A112" s="28" t="s">
        <v>333</v>
      </c>
      <c r="B112" s="29" t="s">
        <v>192</v>
      </c>
      <c r="C112" s="30" t="s">
        <v>334</v>
      </c>
      <c r="D112" s="31"/>
      <c r="E112" s="28" t="s">
        <v>335</v>
      </c>
      <c r="F112" s="32"/>
      <c r="G112" s="32"/>
      <c r="H112" s="32"/>
      <c r="I112" s="33"/>
      <c r="J112" s="34"/>
    </row>
    <row r="113" s="15" customFormat="1" hidden="1" spans="1:10">
      <c r="A113" s="28" t="s">
        <v>336</v>
      </c>
      <c r="B113" s="29" t="s">
        <v>192</v>
      </c>
      <c r="C113" s="30" t="s">
        <v>337</v>
      </c>
      <c r="D113" s="31"/>
      <c r="E113" s="28" t="s">
        <v>338</v>
      </c>
      <c r="F113" s="32"/>
      <c r="G113" s="32"/>
      <c r="H113" s="32"/>
      <c r="I113" s="33"/>
      <c r="J113" s="34"/>
    </row>
    <row r="114" s="15" customFormat="1" hidden="1" spans="1:10">
      <c r="A114" s="28" t="s">
        <v>339</v>
      </c>
      <c r="B114" s="29" t="s">
        <v>192</v>
      </c>
      <c r="C114" s="30" t="s">
        <v>340</v>
      </c>
      <c r="D114" s="31"/>
      <c r="E114" s="28" t="s">
        <v>341</v>
      </c>
      <c r="F114" s="32"/>
      <c r="G114" s="32"/>
      <c r="H114" s="32"/>
      <c r="I114" s="33"/>
      <c r="J114" s="34"/>
    </row>
    <row r="115" s="15" customFormat="1" hidden="1" spans="1:10">
      <c r="A115" s="28" t="s">
        <v>342</v>
      </c>
      <c r="B115" s="29" t="s">
        <v>192</v>
      </c>
      <c r="C115" s="30" t="s">
        <v>343</v>
      </c>
      <c r="D115" s="31"/>
      <c r="E115" s="28" t="s">
        <v>344</v>
      </c>
      <c r="F115" s="32"/>
      <c r="G115" s="32"/>
      <c r="H115" s="32"/>
      <c r="I115" s="33"/>
      <c r="J115" s="34"/>
    </row>
    <row r="116" s="15" customFormat="1" hidden="1" spans="1:10">
      <c r="A116" s="28" t="s">
        <v>345</v>
      </c>
      <c r="B116" s="29" t="s">
        <v>192</v>
      </c>
      <c r="C116" s="30" t="s">
        <v>346</v>
      </c>
      <c r="D116" s="31"/>
      <c r="E116" s="28" t="s">
        <v>347</v>
      </c>
      <c r="F116" s="32"/>
      <c r="G116" s="32"/>
      <c r="H116" s="32"/>
      <c r="I116" s="33"/>
      <c r="J116" s="34"/>
    </row>
    <row r="117" s="15" customFormat="1" hidden="1" spans="1:10">
      <c r="A117" s="28" t="s">
        <v>348</v>
      </c>
      <c r="B117" s="29" t="s">
        <v>192</v>
      </c>
      <c r="C117" s="30" t="s">
        <v>349</v>
      </c>
      <c r="D117" s="31"/>
      <c r="E117" s="28" t="s">
        <v>350</v>
      </c>
      <c r="F117" s="32"/>
      <c r="G117" s="32"/>
      <c r="H117" s="32"/>
      <c r="I117" s="33"/>
      <c r="J117" s="34"/>
    </row>
    <row r="118" s="15" customFormat="1" hidden="1" spans="1:10">
      <c r="A118" s="28" t="s">
        <v>351</v>
      </c>
      <c r="B118" s="29" t="s">
        <v>192</v>
      </c>
      <c r="C118" s="30" t="s">
        <v>352</v>
      </c>
      <c r="D118" s="31"/>
      <c r="E118" s="28" t="s">
        <v>353</v>
      </c>
      <c r="F118" s="32"/>
      <c r="G118" s="32"/>
      <c r="H118" s="32"/>
      <c r="I118" s="33"/>
      <c r="J118" s="34"/>
    </row>
    <row r="119" hidden="1" spans="1:10">
      <c r="A119" s="5" t="s">
        <v>354</v>
      </c>
      <c r="B119" s="5"/>
      <c r="C119" s="22" t="s">
        <v>355</v>
      </c>
      <c r="D119" s="23"/>
      <c r="E119" s="5" t="s">
        <v>356</v>
      </c>
      <c r="F119" s="20"/>
      <c r="G119" s="20"/>
      <c r="H119" s="20"/>
      <c r="I119" s="26"/>
      <c r="J119" s="27"/>
    </row>
    <row r="120" hidden="1" spans="1:10">
      <c r="A120" s="5" t="s">
        <v>357</v>
      </c>
      <c r="B120" s="5"/>
      <c r="C120" s="22" t="s">
        <v>358</v>
      </c>
      <c r="D120" s="23"/>
      <c r="E120" s="5" t="s">
        <v>359</v>
      </c>
      <c r="F120" s="20"/>
      <c r="G120" s="20"/>
      <c r="H120" s="20"/>
      <c r="I120" s="26"/>
      <c r="J120" s="27"/>
    </row>
    <row r="121" hidden="1" spans="1:10">
      <c r="A121" s="5" t="s">
        <v>360</v>
      </c>
      <c r="B121" s="5"/>
      <c r="C121" s="22" t="s">
        <v>361</v>
      </c>
      <c r="D121" s="23"/>
      <c r="E121" s="5" t="s">
        <v>362</v>
      </c>
      <c r="F121" s="20"/>
      <c r="G121" s="20"/>
      <c r="H121" s="20"/>
      <c r="I121" s="26"/>
      <c r="J121" s="27"/>
    </row>
    <row r="122" hidden="1" spans="1:10">
      <c r="A122" s="5" t="s">
        <v>363</v>
      </c>
      <c r="B122" s="5"/>
      <c r="C122" s="22" t="s">
        <v>364</v>
      </c>
      <c r="D122" s="23"/>
      <c r="E122" s="5" t="s">
        <v>365</v>
      </c>
      <c r="F122" s="20"/>
      <c r="G122" s="20"/>
      <c r="H122" s="20"/>
      <c r="I122" s="26"/>
      <c r="J122" s="27"/>
    </row>
    <row r="123" hidden="1" spans="1:10">
      <c r="A123" s="5" t="s">
        <v>366</v>
      </c>
      <c r="B123" s="5"/>
      <c r="C123" s="22" t="s">
        <v>367</v>
      </c>
      <c r="D123" s="23"/>
      <c r="E123" s="5" t="s">
        <v>368</v>
      </c>
      <c r="F123" s="20"/>
      <c r="G123" s="20"/>
      <c r="H123" s="20"/>
      <c r="I123" s="26"/>
      <c r="J123" s="27"/>
    </row>
    <row r="124" hidden="1" spans="1:10">
      <c r="A124" s="5" t="s">
        <v>369</v>
      </c>
      <c r="B124" s="5"/>
      <c r="C124" s="22" t="s">
        <v>370</v>
      </c>
      <c r="D124" s="23"/>
      <c r="E124" s="5" t="s">
        <v>371</v>
      </c>
      <c r="F124" s="20"/>
      <c r="G124" s="20"/>
      <c r="H124" s="20"/>
      <c r="I124" s="26"/>
      <c r="J124" s="27"/>
    </row>
    <row r="125" hidden="1" spans="1:10">
      <c r="A125" s="5" t="s">
        <v>372</v>
      </c>
      <c r="B125" s="5"/>
      <c r="C125" s="22" t="s">
        <v>373</v>
      </c>
      <c r="D125" s="23"/>
      <c r="E125" s="5" t="s">
        <v>374</v>
      </c>
      <c r="F125" s="20"/>
      <c r="G125" s="20"/>
      <c r="H125" s="20"/>
      <c r="I125" s="26"/>
      <c r="J125" s="27"/>
    </row>
    <row r="126" hidden="1" spans="1:10">
      <c r="A126" s="5" t="s">
        <v>375</v>
      </c>
      <c r="B126" s="5"/>
      <c r="C126" s="22" t="s">
        <v>376</v>
      </c>
      <c r="D126" s="23"/>
      <c r="E126" s="5" t="s">
        <v>377</v>
      </c>
      <c r="F126" s="20"/>
      <c r="G126" s="20"/>
      <c r="H126" s="20"/>
      <c r="I126" s="26"/>
      <c r="J126" s="27"/>
    </row>
    <row r="127" hidden="1" spans="1:10">
      <c r="A127" s="5" t="s">
        <v>378</v>
      </c>
      <c r="B127" s="5"/>
      <c r="C127" s="22" t="s">
        <v>379</v>
      </c>
      <c r="D127" s="23"/>
      <c r="E127" s="5" t="s">
        <v>380</v>
      </c>
      <c r="F127" s="20"/>
      <c r="G127" s="20"/>
      <c r="H127" s="20"/>
      <c r="I127" s="26"/>
      <c r="J127" s="27"/>
    </row>
    <row r="128" hidden="1" spans="1:10">
      <c r="A128" s="5" t="s">
        <v>381</v>
      </c>
      <c r="B128" s="5"/>
      <c r="C128" s="22" t="s">
        <v>382</v>
      </c>
      <c r="D128" s="23"/>
      <c r="E128" s="5" t="s">
        <v>383</v>
      </c>
      <c r="F128" s="20"/>
      <c r="G128" s="20"/>
      <c r="H128" s="20"/>
      <c r="I128" s="26"/>
      <c r="J128" s="27"/>
    </row>
    <row r="129" hidden="1" spans="1:10">
      <c r="A129" s="5" t="s">
        <v>384</v>
      </c>
      <c r="B129" s="5"/>
      <c r="C129" s="22" t="s">
        <v>385</v>
      </c>
      <c r="D129" s="23"/>
      <c r="E129" s="5" t="s">
        <v>386</v>
      </c>
      <c r="F129" s="20"/>
      <c r="G129" s="20"/>
      <c r="H129" s="20"/>
      <c r="I129" s="26"/>
      <c r="J129" s="27"/>
    </row>
    <row r="130" hidden="1" spans="1:10">
      <c r="A130" s="5" t="s">
        <v>387</v>
      </c>
      <c r="B130" s="5"/>
      <c r="C130" s="22" t="s">
        <v>388</v>
      </c>
      <c r="D130" s="23"/>
      <c r="E130" s="5" t="s">
        <v>389</v>
      </c>
      <c r="F130" s="20"/>
      <c r="G130" s="20"/>
      <c r="H130" s="20"/>
      <c r="I130" s="26"/>
      <c r="J130" s="27"/>
    </row>
    <row r="131" hidden="1" spans="1:10">
      <c r="A131" s="5" t="s">
        <v>390</v>
      </c>
      <c r="B131" s="5"/>
      <c r="C131" s="22" t="s">
        <v>391</v>
      </c>
      <c r="D131" s="23"/>
      <c r="E131" s="5" t="s">
        <v>392</v>
      </c>
      <c r="F131" s="20"/>
      <c r="G131" s="20"/>
      <c r="H131" s="20"/>
      <c r="I131" s="26"/>
      <c r="J131" s="27"/>
    </row>
    <row r="132" hidden="1" spans="1:10">
      <c r="A132" s="5" t="s">
        <v>393</v>
      </c>
      <c r="B132" s="5"/>
      <c r="C132" s="22" t="s">
        <v>394</v>
      </c>
      <c r="D132" s="23"/>
      <c r="E132" s="5" t="s">
        <v>395</v>
      </c>
      <c r="F132" s="20"/>
      <c r="G132" s="20"/>
      <c r="H132" s="20"/>
      <c r="I132" s="26"/>
      <c r="J132" s="27"/>
    </row>
    <row r="133" hidden="1" spans="1:10">
      <c r="A133" s="5" t="s">
        <v>396</v>
      </c>
      <c r="B133" s="5"/>
      <c r="C133" s="22" t="s">
        <v>397</v>
      </c>
      <c r="D133" s="23"/>
      <c r="E133" s="5" t="s">
        <v>398</v>
      </c>
      <c r="F133" s="20"/>
      <c r="G133" s="20"/>
      <c r="H133" s="20"/>
      <c r="I133" s="26"/>
      <c r="J133" s="27"/>
    </row>
    <row r="134" hidden="1" spans="1:10">
      <c r="A134" s="5" t="s">
        <v>399</v>
      </c>
      <c r="B134" s="5"/>
      <c r="C134" s="22" t="s">
        <v>400</v>
      </c>
      <c r="D134" s="23"/>
      <c r="E134" s="5" t="s">
        <v>401</v>
      </c>
      <c r="F134" s="20"/>
      <c r="G134" s="20"/>
      <c r="H134" s="20"/>
      <c r="I134" s="26"/>
      <c r="J134" s="27"/>
    </row>
    <row r="135" hidden="1" spans="1:10">
      <c r="A135" s="5" t="s">
        <v>402</v>
      </c>
      <c r="B135" s="5"/>
      <c r="C135" s="22" t="s">
        <v>403</v>
      </c>
      <c r="D135" s="23"/>
      <c r="E135" s="5" t="s">
        <v>404</v>
      </c>
      <c r="F135" s="20"/>
      <c r="G135" s="20"/>
      <c r="H135" s="20"/>
      <c r="I135" s="26"/>
      <c r="J135" s="27"/>
    </row>
    <row r="136" hidden="1" spans="1:10">
      <c r="A136" s="5" t="s">
        <v>405</v>
      </c>
      <c r="B136" s="5"/>
      <c r="C136" s="22" t="s">
        <v>406</v>
      </c>
      <c r="D136" s="23"/>
      <c r="E136" s="5" t="s">
        <v>407</v>
      </c>
      <c r="F136" s="20"/>
      <c r="G136" s="20"/>
      <c r="H136" s="20"/>
      <c r="I136" s="26"/>
      <c r="J136" s="27"/>
    </row>
    <row r="137" hidden="1" spans="1:10">
      <c r="A137" s="5" t="s">
        <v>408</v>
      </c>
      <c r="B137" s="5"/>
      <c r="C137" s="22" t="s">
        <v>409</v>
      </c>
      <c r="D137" s="23"/>
      <c r="E137" s="5" t="s">
        <v>410</v>
      </c>
      <c r="F137" s="20"/>
      <c r="G137" s="20"/>
      <c r="H137" s="20"/>
      <c r="I137" s="26"/>
      <c r="J137" s="27"/>
    </row>
    <row r="138" hidden="1" spans="1:10">
      <c r="A138" s="5" t="s">
        <v>411</v>
      </c>
      <c r="B138" s="5"/>
      <c r="C138" s="22" t="s">
        <v>412</v>
      </c>
      <c r="D138" s="23"/>
      <c r="E138" s="5" t="s">
        <v>413</v>
      </c>
      <c r="F138" s="20"/>
      <c r="G138" s="20"/>
      <c r="H138" s="20"/>
      <c r="I138" s="26"/>
      <c r="J138" s="27"/>
    </row>
    <row r="139" hidden="1" spans="1:10">
      <c r="A139" s="5" t="s">
        <v>414</v>
      </c>
      <c r="B139" s="5"/>
      <c r="C139" s="22" t="s">
        <v>415</v>
      </c>
      <c r="D139" s="23"/>
      <c r="E139" s="5" t="s">
        <v>416</v>
      </c>
      <c r="F139" s="20"/>
      <c r="G139" s="20"/>
      <c r="H139" s="20"/>
      <c r="I139" s="26"/>
      <c r="J139" s="27"/>
    </row>
    <row r="140" hidden="1" spans="1:10">
      <c r="A140" s="5" t="s">
        <v>417</v>
      </c>
      <c r="B140" s="5"/>
      <c r="C140" s="22" t="s">
        <v>418</v>
      </c>
      <c r="D140" s="23"/>
      <c r="E140" s="5" t="s">
        <v>419</v>
      </c>
      <c r="F140" s="20"/>
      <c r="G140" s="20"/>
      <c r="H140" s="20"/>
      <c r="I140" s="26"/>
      <c r="J140" s="27"/>
    </row>
    <row r="141" hidden="1" spans="1:10">
      <c r="A141" s="5" t="s">
        <v>420</v>
      </c>
      <c r="B141" s="5"/>
      <c r="C141" s="22" t="s">
        <v>421</v>
      </c>
      <c r="D141" s="23"/>
      <c r="E141" s="5" t="s">
        <v>422</v>
      </c>
      <c r="F141" s="20"/>
      <c r="G141" s="20"/>
      <c r="H141" s="20"/>
      <c r="I141" s="26"/>
      <c r="J141" s="27"/>
    </row>
    <row r="142" hidden="1" spans="1:10">
      <c r="A142" s="5" t="s">
        <v>423</v>
      </c>
      <c r="B142" s="5"/>
      <c r="C142" s="22" t="s">
        <v>424</v>
      </c>
      <c r="D142" s="23"/>
      <c r="E142" s="5" t="s">
        <v>425</v>
      </c>
      <c r="F142" s="20"/>
      <c r="G142" s="20"/>
      <c r="H142" s="20"/>
      <c r="I142" s="26"/>
      <c r="J142" s="27"/>
    </row>
    <row r="143" hidden="1" spans="1:10">
      <c r="A143" s="5" t="s">
        <v>426</v>
      </c>
      <c r="B143" s="5"/>
      <c r="C143" s="22" t="s">
        <v>427</v>
      </c>
      <c r="D143" s="23"/>
      <c r="E143" s="5" t="s">
        <v>428</v>
      </c>
      <c r="F143" s="20"/>
      <c r="G143" s="20"/>
      <c r="H143" s="20"/>
      <c r="I143" s="26"/>
      <c r="J143" s="27"/>
    </row>
    <row r="144" hidden="1" spans="1:10">
      <c r="A144" s="5" t="s">
        <v>429</v>
      </c>
      <c r="B144" s="5"/>
      <c r="C144" s="22" t="s">
        <v>430</v>
      </c>
      <c r="D144" s="23"/>
      <c r="E144" s="5" t="s">
        <v>431</v>
      </c>
      <c r="F144" s="20"/>
      <c r="G144" s="20"/>
      <c r="H144" s="20"/>
      <c r="I144" s="26"/>
      <c r="J144" s="27"/>
    </row>
    <row r="145" hidden="1" spans="1:10">
      <c r="A145" s="5" t="s">
        <v>432</v>
      </c>
      <c r="B145" s="5"/>
      <c r="C145" s="22" t="s">
        <v>433</v>
      </c>
      <c r="D145" s="23"/>
      <c r="E145" s="5" t="s">
        <v>434</v>
      </c>
      <c r="F145" s="20"/>
      <c r="G145" s="20"/>
      <c r="H145" s="20"/>
      <c r="I145" s="26"/>
      <c r="J145" s="27"/>
    </row>
    <row r="146" hidden="1" spans="1:10">
      <c r="A146" s="5" t="s">
        <v>435</v>
      </c>
      <c r="B146" s="5"/>
      <c r="C146" s="22" t="s">
        <v>436</v>
      </c>
      <c r="D146" s="23"/>
      <c r="E146" s="5" t="s">
        <v>437</v>
      </c>
      <c r="F146" s="20"/>
      <c r="G146" s="20"/>
      <c r="H146" s="20"/>
      <c r="I146" s="26"/>
      <c r="J146" s="27"/>
    </row>
    <row r="147" hidden="1" spans="1:10">
      <c r="A147" s="5" t="s">
        <v>438</v>
      </c>
      <c r="B147" s="5"/>
      <c r="C147" s="22" t="s">
        <v>439</v>
      </c>
      <c r="D147" s="23"/>
      <c r="E147" s="5" t="s">
        <v>440</v>
      </c>
      <c r="F147" s="20"/>
      <c r="G147" s="20"/>
      <c r="H147" s="20"/>
      <c r="I147" s="26"/>
      <c r="J147" s="27"/>
    </row>
    <row r="148" hidden="1" spans="1:10">
      <c r="A148" s="5" t="s">
        <v>441</v>
      </c>
      <c r="B148" s="5"/>
      <c r="C148" s="22" t="s">
        <v>442</v>
      </c>
      <c r="D148" s="23"/>
      <c r="E148" s="5" t="s">
        <v>443</v>
      </c>
      <c r="F148" s="20"/>
      <c r="G148" s="20"/>
      <c r="H148" s="20"/>
      <c r="I148" s="26"/>
      <c r="J148" s="27"/>
    </row>
    <row r="149" hidden="1" spans="1:10">
      <c r="A149" s="5" t="s">
        <v>444</v>
      </c>
      <c r="B149" s="5"/>
      <c r="C149" s="22" t="s">
        <v>445</v>
      </c>
      <c r="D149" s="23"/>
      <c r="E149" s="5" t="s">
        <v>446</v>
      </c>
      <c r="F149" s="20"/>
      <c r="G149" s="20"/>
      <c r="H149" s="20"/>
      <c r="I149" s="26"/>
      <c r="J149" s="27"/>
    </row>
    <row r="150" hidden="1" spans="1:10">
      <c r="A150" s="5" t="s">
        <v>447</v>
      </c>
      <c r="B150" s="5"/>
      <c r="C150" s="22" t="s">
        <v>448</v>
      </c>
      <c r="D150" s="23"/>
      <c r="E150" s="5" t="s">
        <v>449</v>
      </c>
      <c r="F150" s="20"/>
      <c r="G150" s="20"/>
      <c r="H150" s="20"/>
      <c r="I150" s="26"/>
      <c r="J150" s="27"/>
    </row>
    <row r="151" hidden="1" spans="1:10">
      <c r="A151" s="5" t="s">
        <v>450</v>
      </c>
      <c r="B151" s="5"/>
      <c r="C151" s="22" t="s">
        <v>451</v>
      </c>
      <c r="D151" s="23"/>
      <c r="E151" s="5" t="s">
        <v>452</v>
      </c>
      <c r="F151" s="20"/>
      <c r="G151" s="20"/>
      <c r="H151" s="20"/>
      <c r="I151" s="26"/>
      <c r="J151" s="27"/>
    </row>
    <row r="152" hidden="1" spans="1:10">
      <c r="A152" s="5" t="s">
        <v>453</v>
      </c>
      <c r="B152" s="5"/>
      <c r="C152" s="22" t="s">
        <v>454</v>
      </c>
      <c r="D152" s="23"/>
      <c r="E152" s="5" t="s">
        <v>455</v>
      </c>
      <c r="F152" s="20"/>
      <c r="G152" s="20"/>
      <c r="H152" s="20"/>
      <c r="I152" s="26"/>
      <c r="J152" s="27"/>
    </row>
    <row r="153" hidden="1" spans="1:10">
      <c r="A153" s="5" t="s">
        <v>456</v>
      </c>
      <c r="B153" s="5"/>
      <c r="C153" s="22" t="s">
        <v>457</v>
      </c>
      <c r="D153" s="23"/>
      <c r="E153" s="5" t="s">
        <v>458</v>
      </c>
      <c r="F153" s="20"/>
      <c r="G153" s="20"/>
      <c r="H153" s="20"/>
      <c r="I153" s="26"/>
      <c r="J153" s="27"/>
    </row>
    <row r="154" hidden="1" spans="1:10">
      <c r="A154" s="5" t="s">
        <v>459</v>
      </c>
      <c r="B154" s="5"/>
      <c r="C154" s="22" t="s">
        <v>460</v>
      </c>
      <c r="D154" s="23"/>
      <c r="E154" s="5" t="s">
        <v>461</v>
      </c>
      <c r="F154" s="20"/>
      <c r="G154" s="20"/>
      <c r="H154" s="20"/>
      <c r="I154" s="26"/>
      <c r="J154" s="27"/>
    </row>
    <row r="155" hidden="1" spans="1:10">
      <c r="A155" s="5" t="s">
        <v>462</v>
      </c>
      <c r="B155" s="5"/>
      <c r="C155" s="22" t="s">
        <v>463</v>
      </c>
      <c r="D155" s="23"/>
      <c r="E155" s="5" t="s">
        <v>464</v>
      </c>
      <c r="F155" s="20"/>
      <c r="G155" s="20"/>
      <c r="H155" s="20"/>
      <c r="I155" s="26"/>
      <c r="J155" s="27"/>
    </row>
    <row r="156" hidden="1" spans="1:10">
      <c r="A156" s="5" t="s">
        <v>465</v>
      </c>
      <c r="B156" s="5"/>
      <c r="C156" s="22" t="s">
        <v>466</v>
      </c>
      <c r="D156" s="23"/>
      <c r="E156" s="5" t="s">
        <v>467</v>
      </c>
      <c r="F156" s="20"/>
      <c r="G156" s="20"/>
      <c r="H156" s="20"/>
      <c r="I156" s="26"/>
      <c r="J156" s="27"/>
    </row>
    <row r="157" hidden="1" spans="1:10">
      <c r="A157" s="5" t="s">
        <v>468</v>
      </c>
      <c r="B157" s="5"/>
      <c r="C157" s="22" t="s">
        <v>469</v>
      </c>
      <c r="D157" s="23"/>
      <c r="E157" s="5" t="s">
        <v>470</v>
      </c>
      <c r="F157" s="20"/>
      <c r="G157" s="20"/>
      <c r="H157" s="20"/>
      <c r="I157" s="26"/>
      <c r="J157" s="27"/>
    </row>
    <row r="158" hidden="1" spans="1:10">
      <c r="A158" s="5" t="s">
        <v>471</v>
      </c>
      <c r="B158" s="5"/>
      <c r="C158" s="22" t="s">
        <v>472</v>
      </c>
      <c r="D158" s="23"/>
      <c r="E158" s="5" t="s">
        <v>473</v>
      </c>
      <c r="F158" s="20"/>
      <c r="G158" s="20"/>
      <c r="H158" s="20"/>
      <c r="I158" s="26"/>
      <c r="J158" s="27"/>
    </row>
    <row r="159" hidden="1" spans="1:10">
      <c r="A159" s="5" t="s">
        <v>474</v>
      </c>
      <c r="B159" s="5"/>
      <c r="C159" s="22" t="s">
        <v>475</v>
      </c>
      <c r="D159" s="23"/>
      <c r="E159" s="5" t="s">
        <v>476</v>
      </c>
      <c r="F159" s="20"/>
      <c r="G159" s="20"/>
      <c r="H159" s="20"/>
      <c r="I159" s="26"/>
      <c r="J159" s="27"/>
    </row>
    <row r="160" hidden="1" spans="1:10">
      <c r="A160" s="5" t="s">
        <v>477</v>
      </c>
      <c r="B160" s="5"/>
      <c r="C160" s="22" t="s">
        <v>478</v>
      </c>
      <c r="D160" s="23"/>
      <c r="E160" s="5" t="s">
        <v>479</v>
      </c>
      <c r="F160" s="20"/>
      <c r="G160" s="20"/>
      <c r="H160" s="20"/>
      <c r="I160" s="26"/>
      <c r="J160" s="27"/>
    </row>
    <row r="161" hidden="1" spans="1:10">
      <c r="A161" s="5" t="s">
        <v>480</v>
      </c>
      <c r="B161" s="5"/>
      <c r="C161" s="22" t="s">
        <v>481</v>
      </c>
      <c r="D161" s="23"/>
      <c r="E161" s="5" t="s">
        <v>482</v>
      </c>
      <c r="F161" s="20"/>
      <c r="G161" s="20"/>
      <c r="H161" s="20"/>
      <c r="I161" s="26"/>
      <c r="J161" s="27"/>
    </row>
    <row r="162" hidden="1" spans="1:10">
      <c r="A162" s="5" t="s">
        <v>483</v>
      </c>
      <c r="B162" s="5"/>
      <c r="C162" s="22" t="s">
        <v>484</v>
      </c>
      <c r="D162" s="23"/>
      <c r="E162" s="5" t="s">
        <v>485</v>
      </c>
      <c r="F162" s="20"/>
      <c r="G162" s="20"/>
      <c r="H162" s="20"/>
      <c r="I162" s="26"/>
      <c r="J162" s="27"/>
    </row>
    <row r="163" hidden="1" spans="1:10">
      <c r="A163" s="5" t="s">
        <v>486</v>
      </c>
      <c r="B163" s="5"/>
      <c r="C163" s="22" t="s">
        <v>487</v>
      </c>
      <c r="D163" s="23"/>
      <c r="E163" s="5" t="s">
        <v>488</v>
      </c>
      <c r="F163" s="20"/>
      <c r="G163" s="20"/>
      <c r="H163" s="20"/>
      <c r="I163" s="26"/>
      <c r="J163" s="27"/>
    </row>
    <row r="164" hidden="1" spans="1:10">
      <c r="A164" s="5" t="s">
        <v>489</v>
      </c>
      <c r="B164" s="5"/>
      <c r="C164" s="22" t="s">
        <v>490</v>
      </c>
      <c r="D164" s="23"/>
      <c r="E164" s="5" t="s">
        <v>491</v>
      </c>
      <c r="F164" s="20"/>
      <c r="G164" s="20"/>
      <c r="H164" s="20"/>
      <c r="I164" s="26"/>
      <c r="J164" s="27"/>
    </row>
    <row r="165" hidden="1" spans="1:10">
      <c r="A165" s="5" t="s">
        <v>492</v>
      </c>
      <c r="B165" s="5"/>
      <c r="C165" s="22" t="s">
        <v>493</v>
      </c>
      <c r="D165" s="23"/>
      <c r="E165" s="5" t="s">
        <v>494</v>
      </c>
      <c r="F165" s="20"/>
      <c r="G165" s="20"/>
      <c r="H165" s="20"/>
      <c r="I165" s="26"/>
      <c r="J165" s="27"/>
    </row>
    <row r="166" hidden="1" spans="1:10">
      <c r="A166" s="5" t="s">
        <v>495</v>
      </c>
      <c r="B166" s="5"/>
      <c r="C166" s="22" t="s">
        <v>496</v>
      </c>
      <c r="D166" s="23"/>
      <c r="E166" s="5" t="s">
        <v>497</v>
      </c>
      <c r="F166" s="20"/>
      <c r="G166" s="20"/>
      <c r="H166" s="20"/>
      <c r="I166" s="26"/>
      <c r="J166" s="27"/>
    </row>
    <row r="167" hidden="1" spans="1:10">
      <c r="A167" s="5" t="s">
        <v>498</v>
      </c>
      <c r="B167" s="5"/>
      <c r="C167" s="22" t="s">
        <v>499</v>
      </c>
      <c r="D167" s="23"/>
      <c r="E167" s="5" t="s">
        <v>500</v>
      </c>
      <c r="F167" s="20"/>
      <c r="G167" s="20"/>
      <c r="H167" s="20"/>
      <c r="I167" s="26"/>
      <c r="J167" s="27"/>
    </row>
    <row r="168" hidden="1" spans="1:10">
      <c r="A168" s="5" t="s">
        <v>501</v>
      </c>
      <c r="B168" s="5"/>
      <c r="C168" s="22" t="s">
        <v>502</v>
      </c>
      <c r="D168" s="23"/>
      <c r="E168" s="5" t="s">
        <v>503</v>
      </c>
      <c r="F168" s="20"/>
      <c r="G168" s="20"/>
      <c r="H168" s="20"/>
      <c r="I168" s="26"/>
      <c r="J168" s="27"/>
    </row>
    <row r="169" hidden="1" spans="1:10">
      <c r="A169" s="5" t="s">
        <v>504</v>
      </c>
      <c r="B169" s="5"/>
      <c r="C169" s="22" t="s">
        <v>505</v>
      </c>
      <c r="D169" s="23"/>
      <c r="E169" s="5" t="s">
        <v>506</v>
      </c>
      <c r="F169" s="20"/>
      <c r="G169" s="20"/>
      <c r="H169" s="20"/>
      <c r="I169" s="26"/>
      <c r="J169" s="27"/>
    </row>
    <row r="170" hidden="1" spans="1:10">
      <c r="A170" s="5" t="s">
        <v>507</v>
      </c>
      <c r="B170" s="5"/>
      <c r="C170" s="22" t="s">
        <v>508</v>
      </c>
      <c r="D170" s="23"/>
      <c r="E170" s="5" t="s">
        <v>509</v>
      </c>
      <c r="F170" s="20"/>
      <c r="G170" s="20"/>
      <c r="H170" s="20"/>
      <c r="I170" s="26"/>
      <c r="J170" s="27"/>
    </row>
    <row r="171" s="15" customFormat="1" hidden="1" spans="1:10">
      <c r="A171" s="28" t="s">
        <v>510</v>
      </c>
      <c r="B171" s="29" t="s">
        <v>511</v>
      </c>
      <c r="C171" s="30" t="s">
        <v>512</v>
      </c>
      <c r="D171" s="31"/>
      <c r="E171" s="28" t="s">
        <v>513</v>
      </c>
      <c r="F171" s="32"/>
      <c r="G171" s="32"/>
      <c r="H171" s="32"/>
      <c r="I171" s="33"/>
      <c r="J171" s="34"/>
    </row>
    <row r="172" s="15" customFormat="1" hidden="1" spans="1:10">
      <c r="A172" s="28" t="s">
        <v>514</v>
      </c>
      <c r="B172" s="29" t="s">
        <v>511</v>
      </c>
      <c r="C172" s="30" t="s">
        <v>515</v>
      </c>
      <c r="D172" s="31"/>
      <c r="E172" s="28" t="s">
        <v>516</v>
      </c>
      <c r="F172" s="32"/>
      <c r="G172" s="32"/>
      <c r="H172" s="32"/>
      <c r="I172" s="33"/>
      <c r="J172" s="34"/>
    </row>
    <row r="173" s="15" customFormat="1" hidden="1" spans="1:10">
      <c r="A173" s="28" t="s">
        <v>517</v>
      </c>
      <c r="B173" s="29" t="s">
        <v>511</v>
      </c>
      <c r="C173" s="30" t="s">
        <v>518</v>
      </c>
      <c r="D173" s="31"/>
      <c r="E173" s="28" t="s">
        <v>519</v>
      </c>
      <c r="F173" s="32"/>
      <c r="G173" s="32"/>
      <c r="H173" s="32"/>
      <c r="I173" s="33"/>
      <c r="J173" s="34"/>
    </row>
    <row r="174" s="15" customFormat="1" hidden="1" spans="1:10">
      <c r="A174" s="28" t="s">
        <v>520</v>
      </c>
      <c r="B174" s="29" t="s">
        <v>511</v>
      </c>
      <c r="C174" s="30" t="s">
        <v>521</v>
      </c>
      <c r="D174" s="31"/>
      <c r="E174" s="28" t="s">
        <v>522</v>
      </c>
      <c r="F174" s="32"/>
      <c r="G174" s="32"/>
      <c r="H174" s="32"/>
      <c r="I174" s="33"/>
      <c r="J174" s="34"/>
    </row>
    <row r="175" s="15" customFormat="1" hidden="1" spans="1:10">
      <c r="A175" s="28" t="s">
        <v>523</v>
      </c>
      <c r="B175" s="29" t="s">
        <v>511</v>
      </c>
      <c r="C175" s="30" t="s">
        <v>524</v>
      </c>
      <c r="D175" s="31"/>
      <c r="E175" s="28" t="s">
        <v>525</v>
      </c>
      <c r="F175" s="32"/>
      <c r="G175" s="32"/>
      <c r="H175" s="32"/>
      <c r="I175" s="33"/>
      <c r="J175" s="34"/>
    </row>
    <row r="176" s="15" customFormat="1" hidden="1" spans="1:10">
      <c r="A176" s="28" t="s">
        <v>526</v>
      </c>
      <c r="B176" s="29" t="s">
        <v>511</v>
      </c>
      <c r="C176" s="30" t="s">
        <v>527</v>
      </c>
      <c r="D176" s="31"/>
      <c r="E176" s="28" t="s">
        <v>528</v>
      </c>
      <c r="F176" s="32"/>
      <c r="G176" s="32"/>
      <c r="H176" s="32"/>
      <c r="I176" s="33"/>
      <c r="J176" s="34"/>
    </row>
    <row r="177" s="15" customFormat="1" hidden="1" spans="1:10">
      <c r="A177" s="28" t="s">
        <v>529</v>
      </c>
      <c r="B177" s="29" t="s">
        <v>511</v>
      </c>
      <c r="C177" s="35" t="s">
        <v>530</v>
      </c>
      <c r="D177" s="31"/>
      <c r="E177" s="28" t="s">
        <v>531</v>
      </c>
      <c r="F177" s="32"/>
      <c r="G177" s="32"/>
      <c r="H177" s="32"/>
      <c r="I177" s="33"/>
      <c r="J177" s="34"/>
    </row>
    <row r="178" s="15" customFormat="1" hidden="1" spans="1:10">
      <c r="A178" s="28" t="s">
        <v>532</v>
      </c>
      <c r="B178" s="29" t="s">
        <v>533</v>
      </c>
      <c r="C178" s="30" t="s">
        <v>534</v>
      </c>
      <c r="D178" s="31"/>
      <c r="E178" s="28" t="s">
        <v>535</v>
      </c>
      <c r="F178" s="32"/>
      <c r="G178" s="32"/>
      <c r="H178" s="32"/>
      <c r="I178" s="33"/>
      <c r="J178" s="34"/>
    </row>
    <row r="179" s="15" customFormat="1" hidden="1" spans="1:10">
      <c r="A179" s="28" t="s">
        <v>536</v>
      </c>
      <c r="B179" s="29" t="s">
        <v>533</v>
      </c>
      <c r="C179" s="30" t="s">
        <v>537</v>
      </c>
      <c r="D179" s="31"/>
      <c r="E179" s="28" t="s">
        <v>538</v>
      </c>
      <c r="F179" s="32"/>
      <c r="G179" s="32"/>
      <c r="H179" s="32"/>
      <c r="I179" s="33"/>
      <c r="J179" s="34"/>
    </row>
    <row r="180" s="15" customFormat="1" hidden="1" spans="1:10">
      <c r="A180" s="28" t="s">
        <v>539</v>
      </c>
      <c r="B180" s="29" t="s">
        <v>533</v>
      </c>
      <c r="C180" s="30" t="s">
        <v>540</v>
      </c>
      <c r="D180" s="31"/>
      <c r="E180" s="28" t="s">
        <v>541</v>
      </c>
      <c r="F180" s="32"/>
      <c r="G180" s="32"/>
      <c r="H180" s="32"/>
      <c r="I180" s="33"/>
      <c r="J180" s="34"/>
    </row>
    <row r="181" s="15" customFormat="1" hidden="1" spans="1:10">
      <c r="A181" s="28" t="s">
        <v>542</v>
      </c>
      <c r="B181" s="29" t="s">
        <v>533</v>
      </c>
      <c r="C181" s="30" t="s">
        <v>543</v>
      </c>
      <c r="D181" s="31"/>
      <c r="E181" s="28" t="s">
        <v>544</v>
      </c>
      <c r="F181" s="32"/>
      <c r="G181" s="32"/>
      <c r="H181" s="32"/>
      <c r="I181" s="33"/>
      <c r="J181" s="34"/>
    </row>
    <row r="182" s="15" customFormat="1" hidden="1" spans="1:10">
      <c r="A182" s="28" t="s">
        <v>545</v>
      </c>
      <c r="B182" s="29" t="s">
        <v>533</v>
      </c>
      <c r="C182" s="30" t="s">
        <v>546</v>
      </c>
      <c r="D182" s="31"/>
      <c r="E182" s="28" t="s">
        <v>547</v>
      </c>
      <c r="F182" s="32"/>
      <c r="G182" s="32"/>
      <c r="H182" s="32"/>
      <c r="I182" s="33"/>
      <c r="J182" s="34"/>
    </row>
    <row r="183" s="15" customFormat="1" hidden="1" spans="1:10">
      <c r="A183" s="28" t="s">
        <v>548</v>
      </c>
      <c r="B183" s="29" t="s">
        <v>533</v>
      </c>
      <c r="C183" s="30" t="s">
        <v>549</v>
      </c>
      <c r="D183" s="31"/>
      <c r="E183" s="28" t="s">
        <v>550</v>
      </c>
      <c r="F183" s="32"/>
      <c r="G183" s="32"/>
      <c r="H183" s="32"/>
      <c r="I183" s="33"/>
      <c r="J183" s="34"/>
    </row>
    <row r="184" s="15" customFormat="1" hidden="1" spans="1:10">
      <c r="A184" s="28" t="s">
        <v>551</v>
      </c>
      <c r="B184" s="29" t="s">
        <v>533</v>
      </c>
      <c r="C184" s="30" t="s">
        <v>552</v>
      </c>
      <c r="D184" s="31"/>
      <c r="E184" s="28" t="s">
        <v>553</v>
      </c>
      <c r="F184" s="32"/>
      <c r="G184" s="32"/>
      <c r="H184" s="32"/>
      <c r="I184" s="33"/>
      <c r="J184" s="34"/>
    </row>
    <row r="185" s="15" customFormat="1" hidden="1" spans="1:10">
      <c r="A185" s="28" t="s">
        <v>554</v>
      </c>
      <c r="B185" s="29" t="s">
        <v>533</v>
      </c>
      <c r="C185" s="30" t="s">
        <v>555</v>
      </c>
      <c r="D185" s="31"/>
      <c r="E185" s="28" t="s">
        <v>556</v>
      </c>
      <c r="F185" s="32"/>
      <c r="G185" s="32"/>
      <c r="H185" s="32"/>
      <c r="I185" s="33"/>
      <c r="J185" s="34"/>
    </row>
    <row r="186" s="15" customFormat="1" hidden="1" spans="1:10">
      <c r="A186" s="28" t="s">
        <v>557</v>
      </c>
      <c r="B186" s="29" t="s">
        <v>533</v>
      </c>
      <c r="C186" s="30" t="s">
        <v>558</v>
      </c>
      <c r="D186" s="31"/>
      <c r="E186" s="28" t="s">
        <v>559</v>
      </c>
      <c r="F186" s="32"/>
      <c r="G186" s="32"/>
      <c r="H186" s="32"/>
      <c r="I186" s="33"/>
      <c r="J186" s="34"/>
    </row>
    <row r="187" s="15" customFormat="1" hidden="1" spans="1:10">
      <c r="A187" s="28" t="s">
        <v>560</v>
      </c>
      <c r="B187" s="29" t="s">
        <v>533</v>
      </c>
      <c r="C187" s="30" t="s">
        <v>561</v>
      </c>
      <c r="D187" s="31"/>
      <c r="E187" s="28" t="s">
        <v>562</v>
      </c>
      <c r="F187" s="32"/>
      <c r="G187" s="32"/>
      <c r="H187" s="32"/>
      <c r="I187" s="33"/>
      <c r="J187" s="34"/>
    </row>
    <row r="188" s="15" customFormat="1" hidden="1" spans="1:10">
      <c r="A188" s="28" t="s">
        <v>563</v>
      </c>
      <c r="B188" s="29" t="s">
        <v>533</v>
      </c>
      <c r="C188" s="30" t="s">
        <v>564</v>
      </c>
      <c r="D188" s="31"/>
      <c r="E188" s="28" t="s">
        <v>565</v>
      </c>
      <c r="F188" s="32"/>
      <c r="G188" s="32"/>
      <c r="H188" s="32"/>
      <c r="I188" s="33"/>
      <c r="J188" s="34"/>
    </row>
    <row r="189" s="15" customFormat="1" hidden="1" spans="1:10">
      <c r="A189" s="28" t="s">
        <v>566</v>
      </c>
      <c r="B189" s="29" t="s">
        <v>533</v>
      </c>
      <c r="C189" s="30" t="s">
        <v>567</v>
      </c>
      <c r="D189" s="31"/>
      <c r="E189" s="28" t="s">
        <v>568</v>
      </c>
      <c r="F189" s="32"/>
      <c r="G189" s="32"/>
      <c r="H189" s="32"/>
      <c r="I189" s="33"/>
      <c r="J189" s="34"/>
    </row>
    <row r="190" s="15" customFormat="1" hidden="1" spans="1:10">
      <c r="A190" s="28" t="s">
        <v>569</v>
      </c>
      <c r="B190" s="29" t="s">
        <v>533</v>
      </c>
      <c r="C190" s="30" t="s">
        <v>570</v>
      </c>
      <c r="D190" s="31"/>
      <c r="E190" s="28" t="s">
        <v>571</v>
      </c>
      <c r="F190" s="32"/>
      <c r="G190" s="32"/>
      <c r="H190" s="32"/>
      <c r="I190" s="33"/>
      <c r="J190" s="34"/>
    </row>
    <row r="191" s="15" customFormat="1" hidden="1" spans="1:10">
      <c r="A191" s="28" t="s">
        <v>572</v>
      </c>
      <c r="B191" s="29" t="s">
        <v>533</v>
      </c>
      <c r="C191" s="30" t="s">
        <v>573</v>
      </c>
      <c r="D191" s="31"/>
      <c r="E191" s="28" t="s">
        <v>574</v>
      </c>
      <c r="F191" s="32"/>
      <c r="G191" s="32"/>
      <c r="H191" s="32"/>
      <c r="I191" s="33"/>
      <c r="J191" s="34"/>
    </row>
    <row r="192" s="15" customFormat="1" hidden="1" spans="1:10">
      <c r="A192" s="28" t="s">
        <v>575</v>
      </c>
      <c r="B192" s="29" t="s">
        <v>533</v>
      </c>
      <c r="C192" s="30" t="s">
        <v>576</v>
      </c>
      <c r="D192" s="31"/>
      <c r="E192" s="28" t="s">
        <v>577</v>
      </c>
      <c r="F192" s="32"/>
      <c r="G192" s="32"/>
      <c r="H192" s="32"/>
      <c r="I192" s="33"/>
      <c r="J192" s="34"/>
    </row>
    <row r="193" s="15" customFormat="1" hidden="1" spans="1:10">
      <c r="A193" s="28" t="s">
        <v>578</v>
      </c>
      <c r="B193" s="29" t="s">
        <v>533</v>
      </c>
      <c r="C193" s="30" t="s">
        <v>579</v>
      </c>
      <c r="D193" s="31"/>
      <c r="E193" s="28" t="s">
        <v>580</v>
      </c>
      <c r="F193" s="32"/>
      <c r="G193" s="32"/>
      <c r="H193" s="32"/>
      <c r="I193" s="33"/>
      <c r="J193" s="34"/>
    </row>
    <row r="194" s="15" customFormat="1" hidden="1" spans="1:10">
      <c r="A194" s="28" t="s">
        <v>581</v>
      </c>
      <c r="B194" s="29" t="s">
        <v>533</v>
      </c>
      <c r="C194" s="30" t="s">
        <v>582</v>
      </c>
      <c r="D194" s="31"/>
      <c r="E194" s="28" t="s">
        <v>583</v>
      </c>
      <c r="F194" s="32"/>
      <c r="G194" s="32"/>
      <c r="H194" s="32"/>
      <c r="I194" s="33"/>
      <c r="J194" s="34"/>
    </row>
    <row r="195" s="15" customFormat="1" hidden="1" spans="1:10">
      <c r="A195" s="28" t="s">
        <v>584</v>
      </c>
      <c r="B195" s="29" t="s">
        <v>533</v>
      </c>
      <c r="C195" s="30" t="s">
        <v>585</v>
      </c>
      <c r="D195" s="31"/>
      <c r="E195" s="28" t="s">
        <v>586</v>
      </c>
      <c r="F195" s="32"/>
      <c r="G195" s="32"/>
      <c r="H195" s="32"/>
      <c r="I195" s="33"/>
      <c r="J195" s="34"/>
    </row>
    <row r="196" s="15" customFormat="1" hidden="1" spans="1:10">
      <c r="A196" s="28" t="s">
        <v>587</v>
      </c>
      <c r="B196" s="29" t="s">
        <v>533</v>
      </c>
      <c r="C196" s="30" t="s">
        <v>588</v>
      </c>
      <c r="D196" s="31"/>
      <c r="E196" s="28" t="s">
        <v>589</v>
      </c>
      <c r="F196" s="32"/>
      <c r="G196" s="32"/>
      <c r="H196" s="32"/>
      <c r="I196" s="33"/>
      <c r="J196" s="34"/>
    </row>
    <row r="197" s="15" customFormat="1" hidden="1" spans="1:10">
      <c r="A197" s="28" t="s">
        <v>590</v>
      </c>
      <c r="B197" s="29" t="s">
        <v>533</v>
      </c>
      <c r="C197" s="30" t="s">
        <v>591</v>
      </c>
      <c r="D197" s="31"/>
      <c r="E197" s="28" t="s">
        <v>592</v>
      </c>
      <c r="F197" s="32"/>
      <c r="G197" s="32"/>
      <c r="H197" s="32"/>
      <c r="I197" s="33"/>
      <c r="J197" s="34"/>
    </row>
    <row r="198" s="15" customFormat="1" hidden="1" spans="1:10">
      <c r="A198" s="28" t="s">
        <v>593</v>
      </c>
      <c r="B198" s="29" t="s">
        <v>533</v>
      </c>
      <c r="C198" s="30" t="s">
        <v>594</v>
      </c>
      <c r="D198" s="31"/>
      <c r="E198" s="28" t="s">
        <v>595</v>
      </c>
      <c r="F198" s="32"/>
      <c r="G198" s="32"/>
      <c r="H198" s="32"/>
      <c r="I198" s="33"/>
      <c r="J198" s="34"/>
    </row>
    <row r="199" s="15" customFormat="1" hidden="1" spans="1:10">
      <c r="A199" s="28" t="s">
        <v>596</v>
      </c>
      <c r="B199" s="29" t="s">
        <v>533</v>
      </c>
      <c r="C199" s="30" t="s">
        <v>597</v>
      </c>
      <c r="D199" s="31"/>
      <c r="E199" s="28" t="s">
        <v>598</v>
      </c>
      <c r="F199" s="32"/>
      <c r="G199" s="32"/>
      <c r="H199" s="32"/>
      <c r="I199" s="33"/>
      <c r="J199" s="34"/>
    </row>
    <row r="200" s="15" customFormat="1" hidden="1" spans="1:10">
      <c r="A200" s="28" t="s">
        <v>599</v>
      </c>
      <c r="B200" s="29" t="s">
        <v>533</v>
      </c>
      <c r="C200" s="30" t="s">
        <v>600</v>
      </c>
      <c r="D200" s="31"/>
      <c r="E200" s="28" t="s">
        <v>601</v>
      </c>
      <c r="F200" s="32"/>
      <c r="G200" s="32"/>
      <c r="H200" s="32"/>
      <c r="I200" s="33"/>
      <c r="J200" s="34"/>
    </row>
    <row r="201" s="15" customFormat="1" hidden="1" spans="1:10">
      <c r="A201" s="28" t="s">
        <v>602</v>
      </c>
      <c r="B201" s="29" t="s">
        <v>533</v>
      </c>
      <c r="C201" s="30" t="s">
        <v>603</v>
      </c>
      <c r="D201" s="31"/>
      <c r="E201" s="28" t="s">
        <v>604</v>
      </c>
      <c r="F201" s="32"/>
      <c r="G201" s="32"/>
      <c r="H201" s="32"/>
      <c r="I201" s="33"/>
      <c r="J201" s="34"/>
    </row>
    <row r="202" s="15" customFormat="1" hidden="1" spans="1:10">
      <c r="A202" s="28" t="s">
        <v>605</v>
      </c>
      <c r="B202" s="29" t="s">
        <v>533</v>
      </c>
      <c r="C202" s="30" t="s">
        <v>606</v>
      </c>
      <c r="D202" s="31"/>
      <c r="E202" s="28" t="s">
        <v>607</v>
      </c>
      <c r="F202" s="32"/>
      <c r="G202" s="32"/>
      <c r="H202" s="32"/>
      <c r="I202" s="33"/>
      <c r="J202" s="34"/>
    </row>
    <row r="203" s="15" customFormat="1" hidden="1" spans="1:10">
      <c r="A203" s="28" t="s">
        <v>608</v>
      </c>
      <c r="B203" s="29" t="s">
        <v>533</v>
      </c>
      <c r="C203" s="30" t="s">
        <v>609</v>
      </c>
      <c r="D203" s="31"/>
      <c r="E203" s="28" t="s">
        <v>610</v>
      </c>
      <c r="F203" s="32"/>
      <c r="G203" s="32"/>
      <c r="H203" s="32"/>
      <c r="I203" s="33"/>
      <c r="J203" s="34"/>
    </row>
    <row r="204" s="15" customFormat="1" hidden="1" spans="1:10">
      <c r="A204" s="28" t="s">
        <v>611</v>
      </c>
      <c r="B204" s="29" t="s">
        <v>533</v>
      </c>
      <c r="C204" s="30" t="s">
        <v>612</v>
      </c>
      <c r="D204" s="31"/>
      <c r="E204" s="28" t="s">
        <v>613</v>
      </c>
      <c r="F204" s="32"/>
      <c r="G204" s="32"/>
      <c r="H204" s="32"/>
      <c r="I204" s="33"/>
      <c r="J204" s="34"/>
    </row>
    <row r="205" s="15" customFormat="1" hidden="1" spans="1:10">
      <c r="A205" s="28" t="s">
        <v>614</v>
      </c>
      <c r="B205" s="29" t="s">
        <v>533</v>
      </c>
      <c r="C205" s="30" t="s">
        <v>615</v>
      </c>
      <c r="D205" s="31"/>
      <c r="E205" s="28" t="s">
        <v>616</v>
      </c>
      <c r="F205" s="32"/>
      <c r="G205" s="32"/>
      <c r="H205" s="32"/>
      <c r="I205" s="33"/>
      <c r="J205" s="34"/>
    </row>
    <row r="206" s="15" customFormat="1" hidden="1" spans="1:10">
      <c r="A206" s="28" t="s">
        <v>617</v>
      </c>
      <c r="B206" s="29" t="s">
        <v>533</v>
      </c>
      <c r="C206" s="30" t="s">
        <v>618</v>
      </c>
      <c r="D206" s="31"/>
      <c r="E206" s="28" t="s">
        <v>619</v>
      </c>
      <c r="F206" s="32"/>
      <c r="G206" s="32"/>
      <c r="H206" s="32"/>
      <c r="I206" s="33"/>
      <c r="J206" s="34"/>
    </row>
    <row r="207" s="15" customFormat="1" hidden="1" spans="1:10">
      <c r="A207" s="28" t="s">
        <v>620</v>
      </c>
      <c r="B207" s="29" t="s">
        <v>533</v>
      </c>
      <c r="C207" s="30" t="s">
        <v>621</v>
      </c>
      <c r="D207" s="31"/>
      <c r="E207" s="28" t="s">
        <v>622</v>
      </c>
      <c r="F207" s="32"/>
      <c r="G207" s="32"/>
      <c r="H207" s="32"/>
      <c r="I207" s="33"/>
      <c r="J207" s="34"/>
    </row>
    <row r="208" s="15" customFormat="1" hidden="1" spans="1:10">
      <c r="A208" s="28" t="s">
        <v>623</v>
      </c>
      <c r="B208" s="29" t="s">
        <v>533</v>
      </c>
      <c r="C208" s="30" t="s">
        <v>624</v>
      </c>
      <c r="D208" s="31"/>
      <c r="E208" s="28" t="s">
        <v>625</v>
      </c>
      <c r="F208" s="32"/>
      <c r="G208" s="32"/>
      <c r="H208" s="32"/>
      <c r="I208" s="33"/>
      <c r="J208" s="34"/>
    </row>
    <row r="209" s="15" customFormat="1" hidden="1" spans="1:10">
      <c r="A209" s="28" t="s">
        <v>626</v>
      </c>
      <c r="B209" s="29" t="s">
        <v>533</v>
      </c>
      <c r="C209" s="30" t="s">
        <v>627</v>
      </c>
      <c r="D209" s="31"/>
      <c r="E209" s="28" t="s">
        <v>628</v>
      </c>
      <c r="F209" s="32"/>
      <c r="G209" s="32"/>
      <c r="H209" s="32"/>
      <c r="I209" s="33"/>
      <c r="J209" s="34"/>
    </row>
    <row r="210" s="15" customFormat="1" hidden="1" spans="1:10">
      <c r="A210" s="28" t="s">
        <v>629</v>
      </c>
      <c r="B210" s="29" t="s">
        <v>533</v>
      </c>
      <c r="C210" s="30" t="s">
        <v>630</v>
      </c>
      <c r="D210" s="31"/>
      <c r="E210" s="28" t="s">
        <v>631</v>
      </c>
      <c r="F210" s="32"/>
      <c r="G210" s="32"/>
      <c r="H210" s="32"/>
      <c r="I210" s="33"/>
      <c r="J210" s="34"/>
    </row>
    <row r="211" s="15" customFormat="1" hidden="1" spans="1:10">
      <c r="A211" s="28" t="s">
        <v>632</v>
      </c>
      <c r="B211" s="29" t="s">
        <v>533</v>
      </c>
      <c r="C211" s="30" t="s">
        <v>633</v>
      </c>
      <c r="D211" s="31"/>
      <c r="E211" s="28" t="s">
        <v>634</v>
      </c>
      <c r="F211" s="32"/>
      <c r="G211" s="32"/>
      <c r="H211" s="32"/>
      <c r="I211" s="33"/>
      <c r="J211" s="34"/>
    </row>
    <row r="212" s="15" customFormat="1" hidden="1" spans="1:10">
      <c r="A212" s="28" t="s">
        <v>635</v>
      </c>
      <c r="B212" s="29" t="s">
        <v>533</v>
      </c>
      <c r="C212" s="30" t="s">
        <v>636</v>
      </c>
      <c r="D212" s="31"/>
      <c r="E212" s="28" t="s">
        <v>637</v>
      </c>
      <c r="F212" s="32"/>
      <c r="G212" s="32"/>
      <c r="H212" s="32"/>
      <c r="I212" s="33"/>
      <c r="J212" s="34"/>
    </row>
    <row r="213" s="15" customFormat="1" hidden="1" spans="1:10">
      <c r="A213" s="28" t="s">
        <v>638</v>
      </c>
      <c r="B213" s="29" t="s">
        <v>533</v>
      </c>
      <c r="C213" s="30" t="s">
        <v>639</v>
      </c>
      <c r="D213" s="31"/>
      <c r="E213" s="28" t="s">
        <v>640</v>
      </c>
      <c r="F213" s="32"/>
      <c r="G213" s="32"/>
      <c r="H213" s="32"/>
      <c r="I213" s="33"/>
      <c r="J213" s="34"/>
    </row>
    <row r="214" s="15" customFormat="1" hidden="1" spans="1:10">
      <c r="A214" s="28" t="s">
        <v>641</v>
      </c>
      <c r="B214" s="29" t="s">
        <v>533</v>
      </c>
      <c r="C214" s="30" t="s">
        <v>642</v>
      </c>
      <c r="D214" s="31"/>
      <c r="E214" s="28" t="s">
        <v>643</v>
      </c>
      <c r="F214" s="32"/>
      <c r="G214" s="32"/>
      <c r="H214" s="32"/>
      <c r="I214" s="33"/>
      <c r="J214" s="34"/>
    </row>
    <row r="215" s="15" customFormat="1" hidden="1" spans="1:10">
      <c r="A215" s="28" t="s">
        <v>644</v>
      </c>
      <c r="B215" s="29" t="s">
        <v>533</v>
      </c>
      <c r="C215" s="30" t="s">
        <v>645</v>
      </c>
      <c r="D215" s="31"/>
      <c r="E215" s="28" t="s">
        <v>646</v>
      </c>
      <c r="F215" s="32"/>
      <c r="G215" s="32"/>
      <c r="H215" s="32"/>
      <c r="I215" s="33"/>
      <c r="J215" s="34"/>
    </row>
    <row r="216" s="15" customFormat="1" hidden="1" spans="1:10">
      <c r="A216" s="28" t="s">
        <v>647</v>
      </c>
      <c r="B216" s="29" t="s">
        <v>533</v>
      </c>
      <c r="C216" s="30" t="s">
        <v>648</v>
      </c>
      <c r="D216" s="31"/>
      <c r="E216" s="28" t="s">
        <v>649</v>
      </c>
      <c r="F216" s="32"/>
      <c r="G216" s="32"/>
      <c r="H216" s="32"/>
      <c r="I216" s="33"/>
      <c r="J216" s="34"/>
    </row>
    <row r="217" s="15" customFormat="1" hidden="1" spans="1:10">
      <c r="A217" s="28" t="s">
        <v>650</v>
      </c>
      <c r="B217" s="29" t="s">
        <v>533</v>
      </c>
      <c r="C217" s="30" t="s">
        <v>651</v>
      </c>
      <c r="D217" s="31"/>
      <c r="E217" s="28" t="s">
        <v>652</v>
      </c>
      <c r="F217" s="32"/>
      <c r="G217" s="32"/>
      <c r="H217" s="32"/>
      <c r="I217" s="33"/>
      <c r="J217" s="34"/>
    </row>
    <row r="218" s="15" customFormat="1" hidden="1" spans="1:10">
      <c r="A218" s="28" t="s">
        <v>653</v>
      </c>
      <c r="B218" s="29" t="s">
        <v>533</v>
      </c>
      <c r="C218" s="30" t="s">
        <v>654</v>
      </c>
      <c r="D218" s="31"/>
      <c r="E218" s="28" t="s">
        <v>655</v>
      </c>
      <c r="F218" s="32"/>
      <c r="G218" s="32"/>
      <c r="H218" s="32"/>
      <c r="I218" s="33"/>
      <c r="J218" s="34"/>
    </row>
    <row r="219" s="15" customFormat="1" hidden="1" spans="1:10">
      <c r="A219" s="28" t="s">
        <v>656</v>
      </c>
      <c r="B219" s="29" t="s">
        <v>533</v>
      </c>
      <c r="C219" s="30" t="s">
        <v>657</v>
      </c>
      <c r="D219" s="31"/>
      <c r="E219" s="28" t="s">
        <v>658</v>
      </c>
      <c r="F219" s="32"/>
      <c r="G219" s="32"/>
      <c r="H219" s="32"/>
      <c r="I219" s="33"/>
      <c r="J219" s="34"/>
    </row>
    <row r="220" s="15" customFormat="1" hidden="1" spans="1:10">
      <c r="A220" s="28" t="s">
        <v>659</v>
      </c>
      <c r="B220" s="29" t="s">
        <v>533</v>
      </c>
      <c r="C220" s="30" t="s">
        <v>660</v>
      </c>
      <c r="D220" s="31"/>
      <c r="E220" s="28" t="s">
        <v>661</v>
      </c>
      <c r="F220" s="32"/>
      <c r="G220" s="32"/>
      <c r="H220" s="32"/>
      <c r="I220" s="33"/>
      <c r="J220" s="34"/>
    </row>
    <row r="221" s="15" customFormat="1" hidden="1" spans="1:10">
      <c r="A221" s="28" t="s">
        <v>662</v>
      </c>
      <c r="B221" s="29" t="s">
        <v>533</v>
      </c>
      <c r="C221" s="35" t="s">
        <v>663</v>
      </c>
      <c r="D221" s="31"/>
      <c r="E221" s="28" t="s">
        <v>664</v>
      </c>
      <c r="F221" s="32"/>
      <c r="G221" s="32"/>
      <c r="H221" s="32"/>
      <c r="I221" s="33"/>
      <c r="J221" s="34"/>
    </row>
    <row r="222" s="15" customFormat="1" hidden="1" spans="1:10">
      <c r="A222" s="28" t="s">
        <v>665</v>
      </c>
      <c r="B222" s="29" t="s">
        <v>533</v>
      </c>
      <c r="C222" s="30" t="s">
        <v>666</v>
      </c>
      <c r="D222" s="31"/>
      <c r="E222" s="28" t="s">
        <v>667</v>
      </c>
      <c r="F222" s="32"/>
      <c r="G222" s="32"/>
      <c r="H222" s="32"/>
      <c r="I222" s="33"/>
      <c r="J222" s="34"/>
    </row>
    <row r="223" s="15" customFormat="1" hidden="1" spans="1:10">
      <c r="A223" s="28" t="s">
        <v>668</v>
      </c>
      <c r="B223" s="29" t="s">
        <v>533</v>
      </c>
      <c r="C223" s="35" t="s">
        <v>669</v>
      </c>
      <c r="D223" s="31"/>
      <c r="E223" s="28" t="s">
        <v>670</v>
      </c>
      <c r="F223" s="32"/>
      <c r="G223" s="32"/>
      <c r="H223" s="32"/>
      <c r="I223" s="33"/>
      <c r="J223" s="34"/>
    </row>
    <row r="224" s="15" customFormat="1" hidden="1" spans="1:10">
      <c r="A224" s="28" t="s">
        <v>671</v>
      </c>
      <c r="B224" s="29" t="s">
        <v>533</v>
      </c>
      <c r="C224" s="35" t="s">
        <v>672</v>
      </c>
      <c r="D224" s="31"/>
      <c r="E224" s="28" t="s">
        <v>673</v>
      </c>
      <c r="F224" s="32"/>
      <c r="G224" s="32"/>
      <c r="H224" s="32"/>
      <c r="I224" s="33"/>
      <c r="J224" s="34"/>
    </row>
    <row r="225" hidden="1" spans="1:10">
      <c r="A225" s="5" t="s">
        <v>674</v>
      </c>
      <c r="B225" s="5"/>
      <c r="C225" s="22" t="s">
        <v>675</v>
      </c>
      <c r="D225" s="23"/>
      <c r="E225" s="5" t="s">
        <v>676</v>
      </c>
      <c r="F225" s="20"/>
      <c r="G225" s="20"/>
      <c r="H225" s="20"/>
      <c r="I225" s="26"/>
      <c r="J225" s="27"/>
    </row>
    <row r="226" hidden="1" spans="1:10">
      <c r="A226" s="5" t="s">
        <v>677</v>
      </c>
      <c r="B226" s="5"/>
      <c r="C226" s="22" t="s">
        <v>678</v>
      </c>
      <c r="D226" s="23"/>
      <c r="E226" s="5" t="s">
        <v>679</v>
      </c>
      <c r="F226" s="20"/>
      <c r="G226" s="20"/>
      <c r="H226" s="20"/>
      <c r="I226" s="26"/>
      <c r="J226" s="27"/>
    </row>
    <row r="227" hidden="1" spans="1:10">
      <c r="A227" s="5" t="s">
        <v>680</v>
      </c>
      <c r="B227" s="5"/>
      <c r="C227" s="22" t="s">
        <v>681</v>
      </c>
      <c r="D227" s="23"/>
      <c r="E227" s="5" t="s">
        <v>682</v>
      </c>
      <c r="F227" s="20"/>
      <c r="G227" s="20"/>
      <c r="H227" s="20"/>
      <c r="I227" s="26"/>
      <c r="J227" s="27"/>
    </row>
    <row r="228" hidden="1" spans="1:10">
      <c r="A228" s="5" t="s">
        <v>683</v>
      </c>
      <c r="B228" s="5"/>
      <c r="C228" s="22" t="s">
        <v>684</v>
      </c>
      <c r="D228" s="23"/>
      <c r="E228" s="5" t="s">
        <v>685</v>
      </c>
      <c r="F228" s="20"/>
      <c r="G228" s="20"/>
      <c r="H228" s="20"/>
      <c r="I228" s="26"/>
      <c r="J228" s="27"/>
    </row>
    <row r="229" hidden="1" spans="1:10">
      <c r="A229" s="5" t="s">
        <v>686</v>
      </c>
      <c r="B229" s="5"/>
      <c r="C229" s="22" t="s">
        <v>687</v>
      </c>
      <c r="D229" s="23"/>
      <c r="E229" s="5" t="s">
        <v>688</v>
      </c>
      <c r="F229" s="20"/>
      <c r="G229" s="20"/>
      <c r="H229" s="20"/>
      <c r="I229" s="26"/>
      <c r="J229" s="27"/>
    </row>
    <row r="230" hidden="1" spans="1:10">
      <c r="A230" s="5" t="s">
        <v>689</v>
      </c>
      <c r="B230" s="5"/>
      <c r="C230" s="22" t="s">
        <v>690</v>
      </c>
      <c r="D230" s="23"/>
      <c r="E230" s="5" t="s">
        <v>691</v>
      </c>
      <c r="F230" s="20"/>
      <c r="G230" s="20"/>
      <c r="H230" s="20"/>
      <c r="I230" s="26"/>
      <c r="J230" s="27"/>
    </row>
    <row r="231" hidden="1" spans="1:10">
      <c r="A231" s="5" t="s">
        <v>692</v>
      </c>
      <c r="B231" s="5"/>
      <c r="C231" s="22" t="s">
        <v>693</v>
      </c>
      <c r="D231" s="23"/>
      <c r="E231" s="5" t="s">
        <v>694</v>
      </c>
      <c r="F231" s="20"/>
      <c r="G231" s="20"/>
      <c r="H231" s="20"/>
      <c r="I231" s="26"/>
      <c r="J231" s="27"/>
    </row>
    <row r="232" hidden="1" spans="1:10">
      <c r="A232" s="5" t="s">
        <v>695</v>
      </c>
      <c r="B232" s="5"/>
      <c r="C232" s="22" t="s">
        <v>696</v>
      </c>
      <c r="D232" s="23"/>
      <c r="E232" s="5" t="s">
        <v>697</v>
      </c>
      <c r="F232" s="20"/>
      <c r="G232" s="20"/>
      <c r="H232" s="20"/>
      <c r="I232" s="26"/>
      <c r="J232" s="27"/>
    </row>
    <row r="233" hidden="1" spans="1:10">
      <c r="A233" s="5" t="s">
        <v>698</v>
      </c>
      <c r="B233" s="5"/>
      <c r="C233" s="22" t="s">
        <v>699</v>
      </c>
      <c r="D233" s="23"/>
      <c r="E233" s="5" t="s">
        <v>700</v>
      </c>
      <c r="F233" s="20"/>
      <c r="G233" s="20"/>
      <c r="H233" s="20"/>
      <c r="I233" s="26"/>
      <c r="J233" s="27"/>
    </row>
    <row r="234" hidden="1" spans="1:10">
      <c r="A234" s="5" t="s">
        <v>701</v>
      </c>
      <c r="B234" s="5"/>
      <c r="C234" s="22" t="s">
        <v>702</v>
      </c>
      <c r="D234" s="23"/>
      <c r="E234" s="5" t="s">
        <v>703</v>
      </c>
      <c r="F234" s="20"/>
      <c r="G234" s="20"/>
      <c r="H234" s="20"/>
      <c r="I234" s="26"/>
      <c r="J234" s="27"/>
    </row>
    <row r="235" hidden="1" spans="1:10">
      <c r="A235" s="5" t="s">
        <v>704</v>
      </c>
      <c r="B235" s="5"/>
      <c r="C235" s="22" t="s">
        <v>705</v>
      </c>
      <c r="D235" s="23"/>
      <c r="E235" s="5" t="s">
        <v>706</v>
      </c>
      <c r="F235" s="20"/>
      <c r="G235" s="20"/>
      <c r="H235" s="20"/>
      <c r="I235" s="26"/>
      <c r="J235" s="27"/>
    </row>
    <row r="236" hidden="1" spans="1:10">
      <c r="A236" s="5" t="s">
        <v>707</v>
      </c>
      <c r="B236" s="5"/>
      <c r="C236" s="22" t="s">
        <v>708</v>
      </c>
      <c r="D236" s="23"/>
      <c r="E236" s="5" t="s">
        <v>709</v>
      </c>
      <c r="F236" s="20"/>
      <c r="G236" s="20"/>
      <c r="H236" s="20"/>
      <c r="I236" s="26"/>
      <c r="J236" s="27"/>
    </row>
    <row r="237" hidden="1" spans="1:10">
      <c r="A237" s="5" t="s">
        <v>710</v>
      </c>
      <c r="B237" s="5"/>
      <c r="C237" s="22" t="s">
        <v>711</v>
      </c>
      <c r="D237" s="23"/>
      <c r="E237" s="5" t="s">
        <v>712</v>
      </c>
      <c r="F237" s="20"/>
      <c r="G237" s="20"/>
      <c r="H237" s="20"/>
      <c r="I237" s="26"/>
      <c r="J237" s="27"/>
    </row>
    <row r="238" hidden="1" spans="1:10">
      <c r="A238" s="5" t="s">
        <v>713</v>
      </c>
      <c r="B238" s="5"/>
      <c r="C238" s="22" t="s">
        <v>714</v>
      </c>
      <c r="D238" s="23"/>
      <c r="E238" s="5" t="s">
        <v>715</v>
      </c>
      <c r="F238" s="20"/>
      <c r="G238" s="20"/>
      <c r="H238" s="20"/>
      <c r="I238" s="26"/>
      <c r="J238" s="27"/>
    </row>
    <row r="239" hidden="1" spans="1:10">
      <c r="A239" s="5" t="s">
        <v>716</v>
      </c>
      <c r="B239" s="5"/>
      <c r="C239" s="22" t="s">
        <v>717</v>
      </c>
      <c r="D239" s="23"/>
      <c r="E239" s="5" t="s">
        <v>718</v>
      </c>
      <c r="F239" s="20"/>
      <c r="G239" s="20"/>
      <c r="H239" s="20"/>
      <c r="I239" s="26"/>
      <c r="J239" s="27"/>
    </row>
    <row r="240" hidden="1" spans="1:10">
      <c r="A240" s="5" t="s">
        <v>719</v>
      </c>
      <c r="B240" s="5"/>
      <c r="C240" s="22" t="s">
        <v>720</v>
      </c>
      <c r="D240" s="23"/>
      <c r="E240" s="5" t="s">
        <v>721</v>
      </c>
      <c r="F240" s="20"/>
      <c r="G240" s="20"/>
      <c r="H240" s="20"/>
      <c r="I240" s="26"/>
      <c r="J240" s="27"/>
    </row>
    <row r="241" hidden="1" spans="1:10">
      <c r="A241" s="5" t="s">
        <v>722</v>
      </c>
      <c r="B241" s="5"/>
      <c r="C241" s="22" t="s">
        <v>723</v>
      </c>
      <c r="D241" s="23"/>
      <c r="E241" s="5" t="s">
        <v>724</v>
      </c>
      <c r="F241" s="20"/>
      <c r="G241" s="20"/>
      <c r="H241" s="20"/>
      <c r="I241" s="26"/>
      <c r="J241" s="27"/>
    </row>
    <row r="242" hidden="1" spans="1:10">
      <c r="A242" s="5" t="s">
        <v>725</v>
      </c>
      <c r="B242" s="5"/>
      <c r="C242" s="22" t="s">
        <v>726</v>
      </c>
      <c r="D242" s="23"/>
      <c r="E242" s="5" t="s">
        <v>727</v>
      </c>
      <c r="F242" s="20"/>
      <c r="G242" s="20"/>
      <c r="H242" s="20"/>
      <c r="I242" s="26"/>
      <c r="J242" s="27"/>
    </row>
    <row r="243" hidden="1" spans="1:10">
      <c r="A243" s="5" t="s">
        <v>728</v>
      </c>
      <c r="B243" s="5"/>
      <c r="C243" s="22" t="s">
        <v>729</v>
      </c>
      <c r="D243" s="23"/>
      <c r="E243" s="5" t="s">
        <v>730</v>
      </c>
      <c r="F243" s="20"/>
      <c r="G243" s="20"/>
      <c r="H243" s="20"/>
      <c r="I243" s="26"/>
      <c r="J243" s="27"/>
    </row>
    <row r="244" hidden="1" spans="1:10">
      <c r="A244" s="5" t="s">
        <v>731</v>
      </c>
      <c r="B244" s="5"/>
      <c r="C244" s="22" t="s">
        <v>732</v>
      </c>
      <c r="D244" s="23"/>
      <c r="E244" s="5" t="s">
        <v>733</v>
      </c>
      <c r="F244" s="20"/>
      <c r="G244" s="20"/>
      <c r="H244" s="20"/>
      <c r="I244" s="26"/>
      <c r="J244" s="27"/>
    </row>
    <row r="245" hidden="1" spans="1:10">
      <c r="A245" s="5" t="s">
        <v>734</v>
      </c>
      <c r="B245" s="5"/>
      <c r="C245" s="22" t="s">
        <v>735</v>
      </c>
      <c r="D245" s="23"/>
      <c r="E245" s="5" t="s">
        <v>736</v>
      </c>
      <c r="F245" s="20"/>
      <c r="G245" s="20"/>
      <c r="H245" s="20"/>
      <c r="I245" s="26"/>
      <c r="J245" s="27"/>
    </row>
    <row r="246" hidden="1" spans="1:10">
      <c r="A246" s="5" t="s">
        <v>737</v>
      </c>
      <c r="B246" s="5"/>
      <c r="C246" s="22" t="s">
        <v>738</v>
      </c>
      <c r="D246" s="23"/>
      <c r="E246" s="5" t="s">
        <v>739</v>
      </c>
      <c r="F246" s="20"/>
      <c r="G246" s="20"/>
      <c r="H246" s="20"/>
      <c r="I246" s="26"/>
      <c r="J246" s="27"/>
    </row>
    <row r="247" hidden="1" spans="1:10">
      <c r="A247" s="5" t="s">
        <v>740</v>
      </c>
      <c r="B247" s="5"/>
      <c r="C247" s="22" t="s">
        <v>741</v>
      </c>
      <c r="D247" s="23"/>
      <c r="E247" s="5" t="s">
        <v>742</v>
      </c>
      <c r="F247" s="20"/>
      <c r="G247" s="20"/>
      <c r="H247" s="20"/>
      <c r="I247" s="26"/>
      <c r="J247" s="27"/>
    </row>
    <row r="248" hidden="1" spans="1:10">
      <c r="A248" s="5" t="s">
        <v>743</v>
      </c>
      <c r="B248" s="5"/>
      <c r="C248" s="22" t="s">
        <v>744</v>
      </c>
      <c r="D248" s="23"/>
      <c r="E248" s="5" t="s">
        <v>745</v>
      </c>
      <c r="F248" s="20"/>
      <c r="G248" s="20"/>
      <c r="H248" s="20"/>
      <c r="I248" s="26"/>
      <c r="J248" s="27"/>
    </row>
    <row r="249" hidden="1" spans="1:10">
      <c r="A249" s="5" t="s">
        <v>746</v>
      </c>
      <c r="B249" s="5"/>
      <c r="C249" s="22" t="s">
        <v>747</v>
      </c>
      <c r="D249" s="23"/>
      <c r="E249" s="5" t="s">
        <v>748</v>
      </c>
      <c r="F249" s="20"/>
      <c r="G249" s="20"/>
      <c r="H249" s="20"/>
      <c r="I249" s="26"/>
      <c r="J249" s="27"/>
    </row>
    <row r="250" hidden="1" spans="1:10">
      <c r="A250" s="5" t="s">
        <v>749</v>
      </c>
      <c r="B250" s="5"/>
      <c r="C250" s="22" t="s">
        <v>750</v>
      </c>
      <c r="D250" s="23"/>
      <c r="E250" s="5" t="s">
        <v>751</v>
      </c>
      <c r="F250" s="20"/>
      <c r="G250" s="20"/>
      <c r="H250" s="20"/>
      <c r="I250" s="26"/>
      <c r="J250" s="27"/>
    </row>
    <row r="251" hidden="1" spans="1:10">
      <c r="A251" s="5" t="s">
        <v>752</v>
      </c>
      <c r="B251" s="5"/>
      <c r="C251" s="22" t="s">
        <v>753</v>
      </c>
      <c r="D251" s="23"/>
      <c r="E251" s="5" t="s">
        <v>754</v>
      </c>
      <c r="F251" s="20"/>
      <c r="G251" s="20"/>
      <c r="H251" s="20"/>
      <c r="I251" s="26"/>
      <c r="J251" s="27"/>
    </row>
    <row r="252" hidden="1" spans="1:10">
      <c r="A252" s="5" t="s">
        <v>755</v>
      </c>
      <c r="B252" s="5"/>
      <c r="C252" s="22" t="s">
        <v>756</v>
      </c>
      <c r="D252" s="23"/>
      <c r="E252" s="5" t="s">
        <v>757</v>
      </c>
      <c r="F252" s="20"/>
      <c r="G252" s="20"/>
      <c r="H252" s="20"/>
      <c r="I252" s="26"/>
      <c r="J252" s="27"/>
    </row>
    <row r="253" hidden="1" spans="1:10">
      <c r="A253" s="5" t="s">
        <v>758</v>
      </c>
      <c r="B253" s="5"/>
      <c r="C253" s="22" t="s">
        <v>759</v>
      </c>
      <c r="D253" s="23"/>
      <c r="E253" s="5" t="s">
        <v>760</v>
      </c>
      <c r="F253" s="20"/>
      <c r="G253" s="20"/>
      <c r="H253" s="20"/>
      <c r="I253" s="26"/>
      <c r="J253" s="27"/>
    </row>
    <row r="254" hidden="1" spans="1:10">
      <c r="A254" s="5" t="s">
        <v>761</v>
      </c>
      <c r="B254" s="5"/>
      <c r="C254" s="22" t="s">
        <v>762</v>
      </c>
      <c r="D254" s="23"/>
      <c r="E254" s="5" t="s">
        <v>763</v>
      </c>
      <c r="F254" s="20"/>
      <c r="G254" s="20"/>
      <c r="H254" s="20"/>
      <c r="I254" s="26"/>
      <c r="J254" s="27"/>
    </row>
    <row r="255" hidden="1" spans="1:10">
      <c r="A255" s="5" t="s">
        <v>764</v>
      </c>
      <c r="B255" s="5"/>
      <c r="C255" s="22" t="s">
        <v>765</v>
      </c>
      <c r="D255" s="23"/>
      <c r="E255" s="5" t="s">
        <v>766</v>
      </c>
      <c r="F255" s="20"/>
      <c r="G255" s="20"/>
      <c r="H255" s="20"/>
      <c r="I255" s="26"/>
      <c r="J255" s="27"/>
    </row>
    <row r="256" hidden="1" spans="1:10">
      <c r="A256" s="5" t="s">
        <v>767</v>
      </c>
      <c r="B256" s="5"/>
      <c r="C256" s="22" t="s">
        <v>768</v>
      </c>
      <c r="D256" s="23"/>
      <c r="E256" s="5" t="s">
        <v>769</v>
      </c>
      <c r="F256" s="20"/>
      <c r="G256" s="20"/>
      <c r="H256" s="20"/>
      <c r="I256" s="26"/>
      <c r="J256" s="27"/>
    </row>
    <row r="257" hidden="1" spans="1:10">
      <c r="A257" s="5" t="s">
        <v>770</v>
      </c>
      <c r="B257" s="5"/>
      <c r="C257" s="22" t="s">
        <v>771</v>
      </c>
      <c r="D257" s="23"/>
      <c r="E257" s="5" t="s">
        <v>772</v>
      </c>
      <c r="F257" s="20"/>
      <c r="G257" s="20"/>
      <c r="H257" s="20"/>
      <c r="I257" s="26"/>
      <c r="J257" s="27"/>
    </row>
    <row r="258" hidden="1" spans="1:10">
      <c r="A258" s="5" t="s">
        <v>773</v>
      </c>
      <c r="B258" s="5"/>
      <c r="C258" s="22" t="s">
        <v>774</v>
      </c>
      <c r="D258" s="23"/>
      <c r="E258" s="5" t="s">
        <v>775</v>
      </c>
      <c r="F258" s="20"/>
      <c r="G258" s="20"/>
      <c r="H258" s="20"/>
      <c r="I258" s="26"/>
      <c r="J258" s="27"/>
    </row>
    <row r="259" hidden="1" spans="1:10">
      <c r="A259" s="5" t="s">
        <v>776</v>
      </c>
      <c r="B259" s="5"/>
      <c r="C259" s="22" t="s">
        <v>777</v>
      </c>
      <c r="D259" s="23"/>
      <c r="E259" s="5" t="s">
        <v>778</v>
      </c>
      <c r="F259" s="20"/>
      <c r="G259" s="20"/>
      <c r="H259" s="20"/>
      <c r="I259" s="26"/>
      <c r="J259" s="27"/>
    </row>
    <row r="260" hidden="1" spans="1:10">
      <c r="A260" s="5" t="s">
        <v>779</v>
      </c>
      <c r="B260" s="5"/>
      <c r="C260" s="22" t="s">
        <v>780</v>
      </c>
      <c r="D260" s="23"/>
      <c r="E260" s="5" t="s">
        <v>781</v>
      </c>
      <c r="F260" s="20"/>
      <c r="G260" s="20"/>
      <c r="H260" s="20"/>
      <c r="I260" s="26"/>
      <c r="J260" s="27"/>
    </row>
    <row r="261" hidden="1" spans="1:10">
      <c r="A261" s="5" t="s">
        <v>782</v>
      </c>
      <c r="B261" s="5"/>
      <c r="C261" s="22" t="s">
        <v>783</v>
      </c>
      <c r="D261" s="23"/>
      <c r="E261" s="5" t="s">
        <v>784</v>
      </c>
      <c r="F261" s="20"/>
      <c r="G261" s="20"/>
      <c r="H261" s="20"/>
      <c r="I261" s="26"/>
      <c r="J261" s="27"/>
    </row>
    <row r="262" hidden="1" spans="1:10">
      <c r="A262" s="5" t="s">
        <v>785</v>
      </c>
      <c r="B262" s="5"/>
      <c r="C262" s="22" t="s">
        <v>786</v>
      </c>
      <c r="D262" s="23"/>
      <c r="E262" s="5" t="s">
        <v>787</v>
      </c>
      <c r="F262" s="20"/>
      <c r="G262" s="20"/>
      <c r="H262" s="20"/>
      <c r="I262" s="26"/>
      <c r="J262" s="27"/>
    </row>
    <row r="263" hidden="1" spans="1:10">
      <c r="A263" s="5" t="s">
        <v>788</v>
      </c>
      <c r="B263" s="5"/>
      <c r="C263" s="22" t="s">
        <v>789</v>
      </c>
      <c r="D263" s="23"/>
      <c r="E263" s="5" t="s">
        <v>790</v>
      </c>
      <c r="F263" s="20"/>
      <c r="G263" s="20"/>
      <c r="H263" s="20"/>
      <c r="I263" s="26"/>
      <c r="J263" s="27"/>
    </row>
    <row r="264" hidden="1" spans="1:10">
      <c r="A264" s="5" t="s">
        <v>791</v>
      </c>
      <c r="B264" s="5"/>
      <c r="C264" s="22" t="s">
        <v>792</v>
      </c>
      <c r="D264" s="23"/>
      <c r="E264" s="5" t="s">
        <v>793</v>
      </c>
      <c r="F264" s="20"/>
      <c r="G264" s="20"/>
      <c r="H264" s="20"/>
      <c r="I264" s="26"/>
      <c r="J264" s="27"/>
    </row>
    <row r="265" hidden="1" spans="1:10">
      <c r="A265" s="5" t="s">
        <v>794</v>
      </c>
      <c r="B265" s="5"/>
      <c r="C265" s="22" t="s">
        <v>795</v>
      </c>
      <c r="D265" s="23"/>
      <c r="E265" s="5" t="s">
        <v>796</v>
      </c>
      <c r="F265" s="20"/>
      <c r="G265" s="20"/>
      <c r="H265" s="20"/>
      <c r="I265" s="26"/>
      <c r="J265" s="27"/>
    </row>
    <row r="266" hidden="1" spans="1:10">
      <c r="A266" s="5" t="s">
        <v>797</v>
      </c>
      <c r="B266" s="5"/>
      <c r="C266" s="22" t="s">
        <v>798</v>
      </c>
      <c r="D266" s="23"/>
      <c r="E266" s="5" t="s">
        <v>799</v>
      </c>
      <c r="F266" s="20"/>
      <c r="G266" s="20"/>
      <c r="H266" s="20"/>
      <c r="I266" s="26"/>
      <c r="J266" s="27"/>
    </row>
    <row r="267" hidden="1" spans="1:10">
      <c r="A267" s="5" t="s">
        <v>800</v>
      </c>
      <c r="B267" s="5"/>
      <c r="C267" s="22" t="s">
        <v>801</v>
      </c>
      <c r="D267" s="23"/>
      <c r="E267" s="5" t="s">
        <v>802</v>
      </c>
      <c r="F267" s="20"/>
      <c r="G267" s="20"/>
      <c r="H267" s="20"/>
      <c r="I267" s="26"/>
      <c r="J267" s="27"/>
    </row>
    <row r="268" hidden="1" spans="1:10">
      <c r="A268" s="5" t="s">
        <v>803</v>
      </c>
      <c r="B268" s="5"/>
      <c r="C268" s="22" t="s">
        <v>804</v>
      </c>
      <c r="D268" s="23"/>
      <c r="E268" s="5" t="s">
        <v>805</v>
      </c>
      <c r="F268" s="20"/>
      <c r="G268" s="20"/>
      <c r="H268" s="20"/>
      <c r="I268" s="26"/>
      <c r="J268" s="27"/>
    </row>
    <row r="269" hidden="1" spans="1:10">
      <c r="A269" s="5" t="s">
        <v>806</v>
      </c>
      <c r="B269" s="5"/>
      <c r="C269" s="22" t="s">
        <v>807</v>
      </c>
      <c r="D269" s="23"/>
      <c r="E269" s="5" t="s">
        <v>808</v>
      </c>
      <c r="F269" s="20"/>
      <c r="G269" s="20"/>
      <c r="H269" s="20"/>
      <c r="I269" s="26"/>
      <c r="J269" s="27"/>
    </row>
    <row r="270" hidden="1" spans="1:10">
      <c r="A270" s="5" t="s">
        <v>809</v>
      </c>
      <c r="B270" s="5"/>
      <c r="C270" s="22" t="s">
        <v>810</v>
      </c>
      <c r="D270" s="23"/>
      <c r="E270" s="5" t="s">
        <v>811</v>
      </c>
      <c r="F270" s="20"/>
      <c r="G270" s="20"/>
      <c r="H270" s="20"/>
      <c r="I270" s="26"/>
      <c r="J270" s="27"/>
    </row>
    <row r="271" hidden="1" spans="1:10">
      <c r="A271" s="5" t="s">
        <v>812</v>
      </c>
      <c r="B271" s="5"/>
      <c r="C271" s="22" t="s">
        <v>813</v>
      </c>
      <c r="D271" s="23"/>
      <c r="E271" s="5" t="s">
        <v>814</v>
      </c>
      <c r="F271" s="20"/>
      <c r="G271" s="20"/>
      <c r="H271" s="20"/>
      <c r="I271" s="26"/>
      <c r="J271" s="27"/>
    </row>
    <row r="272" hidden="1" spans="1:10">
      <c r="A272" s="5" t="s">
        <v>815</v>
      </c>
      <c r="B272" s="5"/>
      <c r="C272" s="22" t="s">
        <v>816</v>
      </c>
      <c r="D272" s="23"/>
      <c r="E272" s="5" t="s">
        <v>817</v>
      </c>
      <c r="F272" s="20"/>
      <c r="G272" s="20"/>
      <c r="H272" s="20"/>
      <c r="I272" s="26"/>
      <c r="J272" s="27"/>
    </row>
    <row r="273" hidden="1" spans="1:10">
      <c r="A273" s="5" t="s">
        <v>818</v>
      </c>
      <c r="B273" s="5"/>
      <c r="C273" s="22" t="s">
        <v>819</v>
      </c>
      <c r="D273" s="23"/>
      <c r="E273" s="5" t="s">
        <v>820</v>
      </c>
      <c r="F273" s="20"/>
      <c r="G273" s="20"/>
      <c r="H273" s="20"/>
      <c r="I273" s="26"/>
      <c r="J273" s="27"/>
    </row>
    <row r="274" hidden="1" spans="1:10">
      <c r="A274" s="5" t="s">
        <v>821</v>
      </c>
      <c r="B274" s="5"/>
      <c r="C274" s="22" t="s">
        <v>822</v>
      </c>
      <c r="D274" s="23"/>
      <c r="E274" s="5" t="s">
        <v>823</v>
      </c>
      <c r="F274" s="20"/>
      <c r="G274" s="20"/>
      <c r="H274" s="20"/>
      <c r="I274" s="26"/>
      <c r="J274" s="27"/>
    </row>
    <row r="275" hidden="1" spans="1:10">
      <c r="A275" s="5" t="s">
        <v>824</v>
      </c>
      <c r="B275" s="5"/>
      <c r="C275" s="22" t="s">
        <v>825</v>
      </c>
      <c r="D275" s="23"/>
      <c r="E275" s="5" t="s">
        <v>826</v>
      </c>
      <c r="F275" s="20"/>
      <c r="G275" s="20"/>
      <c r="H275" s="20"/>
      <c r="I275" s="26"/>
      <c r="J275" s="27"/>
    </row>
    <row r="276" hidden="1" spans="1:10">
      <c r="A276" s="5" t="s">
        <v>827</v>
      </c>
      <c r="B276" s="5"/>
      <c r="C276" s="22" t="s">
        <v>828</v>
      </c>
      <c r="D276" s="23"/>
      <c r="E276" s="5" t="s">
        <v>829</v>
      </c>
      <c r="F276" s="20"/>
      <c r="G276" s="20"/>
      <c r="H276" s="20"/>
      <c r="I276" s="26"/>
      <c r="J276" s="27"/>
    </row>
    <row r="277" hidden="1" spans="1:10">
      <c r="A277" s="5" t="s">
        <v>830</v>
      </c>
      <c r="B277" s="5"/>
      <c r="C277" s="22" t="s">
        <v>831</v>
      </c>
      <c r="D277" s="23"/>
      <c r="E277" s="5" t="s">
        <v>832</v>
      </c>
      <c r="F277" s="20"/>
      <c r="G277" s="20"/>
      <c r="H277" s="20"/>
      <c r="I277" s="26"/>
      <c r="J277" s="27"/>
    </row>
    <row r="278" hidden="1" spans="1:10">
      <c r="A278" s="5" t="s">
        <v>833</v>
      </c>
      <c r="B278" s="5"/>
      <c r="C278" s="22" t="s">
        <v>834</v>
      </c>
      <c r="D278" s="23"/>
      <c r="E278" s="5" t="s">
        <v>835</v>
      </c>
      <c r="F278" s="20"/>
      <c r="G278" s="20"/>
      <c r="H278" s="20"/>
      <c r="I278" s="26"/>
      <c r="J278" s="27"/>
    </row>
    <row r="279" hidden="1" spans="1:10">
      <c r="A279" s="5" t="s">
        <v>836</v>
      </c>
      <c r="B279" s="5"/>
      <c r="C279" s="22" t="s">
        <v>837</v>
      </c>
      <c r="D279" s="23"/>
      <c r="E279" s="5" t="s">
        <v>838</v>
      </c>
      <c r="F279" s="20"/>
      <c r="G279" s="20"/>
      <c r="H279" s="20"/>
      <c r="I279" s="26"/>
      <c r="J279" s="27"/>
    </row>
    <row r="280" hidden="1" spans="1:10">
      <c r="A280" s="5" t="s">
        <v>839</v>
      </c>
      <c r="B280" s="5"/>
      <c r="C280" s="22" t="s">
        <v>840</v>
      </c>
      <c r="D280" s="23"/>
      <c r="E280" s="5" t="s">
        <v>841</v>
      </c>
      <c r="F280" s="20"/>
      <c r="G280" s="20"/>
      <c r="H280" s="20"/>
      <c r="I280" s="26"/>
      <c r="J280" s="27"/>
    </row>
    <row r="281" hidden="1" spans="1:10">
      <c r="A281" s="5" t="s">
        <v>842</v>
      </c>
      <c r="B281" s="5"/>
      <c r="C281" s="22" t="s">
        <v>843</v>
      </c>
      <c r="D281" s="23"/>
      <c r="E281" s="5" t="s">
        <v>844</v>
      </c>
      <c r="F281" s="20"/>
      <c r="G281" s="20"/>
      <c r="H281" s="20"/>
      <c r="I281" s="26"/>
      <c r="J281" s="27"/>
    </row>
    <row r="282" hidden="1" spans="1:10">
      <c r="A282" s="5" t="s">
        <v>845</v>
      </c>
      <c r="B282" s="5"/>
      <c r="C282" s="22" t="s">
        <v>846</v>
      </c>
      <c r="D282" s="23"/>
      <c r="E282" s="5" t="s">
        <v>847</v>
      </c>
      <c r="F282" s="20"/>
      <c r="G282" s="20"/>
      <c r="H282" s="20"/>
      <c r="I282" s="26"/>
      <c r="J282" s="27"/>
    </row>
    <row r="283" hidden="1" spans="1:10">
      <c r="A283" s="5" t="s">
        <v>848</v>
      </c>
      <c r="B283" s="5"/>
      <c r="C283" s="22" t="s">
        <v>849</v>
      </c>
      <c r="D283" s="23"/>
      <c r="E283" s="5" t="s">
        <v>850</v>
      </c>
      <c r="F283" s="20"/>
      <c r="G283" s="20"/>
      <c r="H283" s="20"/>
      <c r="I283" s="26"/>
      <c r="J283" s="27"/>
    </row>
    <row r="284" hidden="1" spans="1:10">
      <c r="A284" s="5" t="s">
        <v>851</v>
      </c>
      <c r="B284" s="5"/>
      <c r="C284" s="22" t="s">
        <v>852</v>
      </c>
      <c r="D284" s="23"/>
      <c r="E284" s="5" t="s">
        <v>853</v>
      </c>
      <c r="F284" s="20"/>
      <c r="G284" s="20"/>
      <c r="H284" s="20"/>
      <c r="I284" s="26"/>
      <c r="J284" s="27"/>
    </row>
    <row r="285" hidden="1" spans="1:10">
      <c r="A285" s="5" t="s">
        <v>854</v>
      </c>
      <c r="B285" s="5"/>
      <c r="C285" s="22" t="s">
        <v>855</v>
      </c>
      <c r="D285" s="23"/>
      <c r="E285" s="5" t="s">
        <v>856</v>
      </c>
      <c r="F285" s="20"/>
      <c r="G285" s="20"/>
      <c r="H285" s="20"/>
      <c r="I285" s="26"/>
      <c r="J285" s="27"/>
    </row>
    <row r="286" hidden="1" spans="1:10">
      <c r="A286" s="5" t="s">
        <v>857</v>
      </c>
      <c r="B286" s="5"/>
      <c r="C286" s="22" t="s">
        <v>858</v>
      </c>
      <c r="D286" s="23"/>
      <c r="E286" s="5" t="s">
        <v>859</v>
      </c>
      <c r="F286" s="20"/>
      <c r="G286" s="20"/>
      <c r="H286" s="20"/>
      <c r="I286" s="26"/>
      <c r="J286" s="27"/>
    </row>
    <row r="287" hidden="1" spans="1:10">
      <c r="A287" s="5" t="s">
        <v>860</v>
      </c>
      <c r="B287" s="5"/>
      <c r="C287" s="22" t="s">
        <v>861</v>
      </c>
      <c r="D287" s="23"/>
      <c r="E287" s="5" t="s">
        <v>862</v>
      </c>
      <c r="F287" s="20"/>
      <c r="G287" s="20"/>
      <c r="H287" s="20"/>
      <c r="I287" s="26"/>
      <c r="J287" s="27"/>
    </row>
    <row r="288" hidden="1" spans="1:10">
      <c r="A288" s="5" t="s">
        <v>863</v>
      </c>
      <c r="B288" s="5"/>
      <c r="C288" s="22" t="s">
        <v>864</v>
      </c>
      <c r="D288" s="23"/>
      <c r="E288" s="5" t="s">
        <v>865</v>
      </c>
      <c r="F288" s="20"/>
      <c r="G288" s="20"/>
      <c r="H288" s="20"/>
      <c r="I288" s="26"/>
      <c r="J288" s="27"/>
    </row>
    <row r="289" hidden="1" spans="1:10">
      <c r="A289" s="5" t="s">
        <v>866</v>
      </c>
      <c r="B289" s="5"/>
      <c r="C289" s="22" t="s">
        <v>867</v>
      </c>
      <c r="D289" s="23"/>
      <c r="E289" s="5" t="s">
        <v>868</v>
      </c>
      <c r="F289" s="20"/>
      <c r="G289" s="20"/>
      <c r="H289" s="20"/>
      <c r="I289" s="26"/>
      <c r="J289" s="27"/>
    </row>
    <row r="290" hidden="1" spans="1:10">
      <c r="A290" s="5" t="s">
        <v>869</v>
      </c>
      <c r="B290" s="5"/>
      <c r="C290" s="22" t="s">
        <v>870</v>
      </c>
      <c r="D290" s="23"/>
      <c r="E290" s="5" t="s">
        <v>871</v>
      </c>
      <c r="F290" s="20"/>
      <c r="G290" s="20"/>
      <c r="H290" s="20"/>
      <c r="I290" s="26"/>
      <c r="J290" s="27"/>
    </row>
    <row r="291" hidden="1" spans="1:10">
      <c r="A291" s="5" t="s">
        <v>872</v>
      </c>
      <c r="B291" s="5"/>
      <c r="C291" s="22" t="s">
        <v>873</v>
      </c>
      <c r="D291" s="23"/>
      <c r="E291" s="5" t="s">
        <v>874</v>
      </c>
      <c r="F291" s="20"/>
      <c r="G291" s="20"/>
      <c r="H291" s="20"/>
      <c r="I291" s="26"/>
      <c r="J291" s="27"/>
    </row>
    <row r="292" hidden="1" spans="1:10">
      <c r="A292" s="5" t="s">
        <v>875</v>
      </c>
      <c r="B292" s="5"/>
      <c r="C292" s="22" t="s">
        <v>876</v>
      </c>
      <c r="D292" s="23"/>
      <c r="E292" s="5" t="s">
        <v>877</v>
      </c>
      <c r="F292" s="20"/>
      <c r="G292" s="20"/>
      <c r="H292" s="20"/>
      <c r="I292" s="26"/>
      <c r="J292" s="27"/>
    </row>
    <row r="293" hidden="1" spans="1:10">
      <c r="A293" s="5" t="s">
        <v>878</v>
      </c>
      <c r="B293" s="5"/>
      <c r="C293" s="22" t="s">
        <v>879</v>
      </c>
      <c r="D293" s="23"/>
      <c r="E293" s="5" t="s">
        <v>880</v>
      </c>
      <c r="F293" s="20"/>
      <c r="G293" s="20"/>
      <c r="H293" s="20"/>
      <c r="I293" s="26"/>
      <c r="J293" s="27"/>
    </row>
    <row r="294" hidden="1" spans="1:10">
      <c r="A294" s="5" t="s">
        <v>881</v>
      </c>
      <c r="B294" s="5"/>
      <c r="C294" s="22" t="s">
        <v>882</v>
      </c>
      <c r="D294" s="23"/>
      <c r="E294" s="5" t="s">
        <v>883</v>
      </c>
      <c r="F294" s="20"/>
      <c r="G294" s="20"/>
      <c r="H294" s="20"/>
      <c r="I294" s="26"/>
      <c r="J294" s="27"/>
    </row>
    <row r="295" hidden="1" spans="1:10">
      <c r="A295" s="5" t="s">
        <v>884</v>
      </c>
      <c r="B295" s="5"/>
      <c r="C295" s="22" t="s">
        <v>885</v>
      </c>
      <c r="D295" s="23"/>
      <c r="E295" s="5" t="s">
        <v>886</v>
      </c>
      <c r="F295" s="20"/>
      <c r="G295" s="20"/>
      <c r="H295" s="20"/>
      <c r="I295" s="26"/>
      <c r="J295" s="27"/>
    </row>
    <row r="296" hidden="1" spans="1:10">
      <c r="A296" s="5" t="s">
        <v>887</v>
      </c>
      <c r="B296" s="5"/>
      <c r="C296" s="22" t="s">
        <v>888</v>
      </c>
      <c r="D296" s="23"/>
      <c r="E296" s="5" t="s">
        <v>889</v>
      </c>
      <c r="F296" s="20"/>
      <c r="G296" s="20"/>
      <c r="H296" s="20"/>
      <c r="I296" s="26"/>
      <c r="J296" s="27"/>
    </row>
    <row r="297" hidden="1" spans="1:10">
      <c r="A297" s="5" t="s">
        <v>890</v>
      </c>
      <c r="B297" s="5"/>
      <c r="C297" s="22" t="s">
        <v>891</v>
      </c>
      <c r="D297" s="23"/>
      <c r="E297" s="5" t="s">
        <v>892</v>
      </c>
      <c r="F297" s="20"/>
      <c r="G297" s="20"/>
      <c r="H297" s="20"/>
      <c r="I297" s="26"/>
      <c r="J297" s="27"/>
    </row>
    <row r="298" hidden="1" spans="1:10">
      <c r="A298" s="5" t="s">
        <v>893</v>
      </c>
      <c r="B298" s="5"/>
      <c r="C298" s="22" t="s">
        <v>894</v>
      </c>
      <c r="D298" s="23"/>
      <c r="E298" s="5" t="s">
        <v>895</v>
      </c>
      <c r="F298" s="20"/>
      <c r="G298" s="20"/>
      <c r="H298" s="20"/>
      <c r="I298" s="26"/>
      <c r="J298" s="27"/>
    </row>
    <row r="299" hidden="1" spans="1:10">
      <c r="A299" s="5" t="s">
        <v>896</v>
      </c>
      <c r="B299" s="5"/>
      <c r="C299" s="22" t="s">
        <v>897</v>
      </c>
      <c r="D299" s="23"/>
      <c r="E299" s="5" t="s">
        <v>898</v>
      </c>
      <c r="F299" s="20"/>
      <c r="G299" s="20"/>
      <c r="H299" s="20"/>
      <c r="I299" s="26"/>
      <c r="J299" s="27"/>
    </row>
    <row r="300" hidden="1" spans="1:10">
      <c r="A300" s="5" t="s">
        <v>899</v>
      </c>
      <c r="B300" s="5"/>
      <c r="C300" s="22" t="s">
        <v>900</v>
      </c>
      <c r="D300" s="23"/>
      <c r="E300" s="5" t="s">
        <v>901</v>
      </c>
      <c r="F300" s="20"/>
      <c r="G300" s="20"/>
      <c r="H300" s="20"/>
      <c r="I300" s="26"/>
      <c r="J300" s="27"/>
    </row>
    <row r="301" hidden="1" spans="1:10">
      <c r="A301" s="5" t="s">
        <v>902</v>
      </c>
      <c r="B301" s="5"/>
      <c r="C301" s="22" t="s">
        <v>903</v>
      </c>
      <c r="D301" s="23"/>
      <c r="E301" s="5" t="s">
        <v>904</v>
      </c>
      <c r="F301" s="20"/>
      <c r="G301" s="20"/>
      <c r="H301" s="20"/>
      <c r="I301" s="26"/>
      <c r="J301" s="27"/>
    </row>
    <row r="302" hidden="1" spans="1:10">
      <c r="A302" s="5" t="s">
        <v>905</v>
      </c>
      <c r="B302" s="5"/>
      <c r="C302" s="22" t="s">
        <v>906</v>
      </c>
      <c r="D302" s="23"/>
      <c r="E302" s="5" t="s">
        <v>907</v>
      </c>
      <c r="F302" s="20"/>
      <c r="G302" s="20"/>
      <c r="H302" s="20"/>
      <c r="I302" s="26"/>
      <c r="J302" s="27"/>
    </row>
    <row r="303" hidden="1" spans="1:10">
      <c r="A303" s="5" t="s">
        <v>908</v>
      </c>
      <c r="B303" s="5"/>
      <c r="C303" s="22" t="s">
        <v>909</v>
      </c>
      <c r="D303" s="23"/>
      <c r="E303" s="5" t="s">
        <v>910</v>
      </c>
      <c r="F303" s="20"/>
      <c r="G303" s="20"/>
      <c r="H303" s="20"/>
      <c r="I303" s="26"/>
      <c r="J303" s="27"/>
    </row>
    <row r="304" hidden="1" spans="1:10">
      <c r="A304" s="5" t="s">
        <v>911</v>
      </c>
      <c r="B304" s="5"/>
      <c r="C304" s="22" t="s">
        <v>912</v>
      </c>
      <c r="D304" s="23"/>
      <c r="E304" s="5" t="s">
        <v>913</v>
      </c>
      <c r="F304" s="20"/>
      <c r="G304" s="20"/>
      <c r="H304" s="20"/>
      <c r="I304" s="26"/>
      <c r="J304" s="27"/>
    </row>
    <row r="305" hidden="1" spans="1:10">
      <c r="A305" s="5" t="s">
        <v>914</v>
      </c>
      <c r="B305" s="5"/>
      <c r="C305" s="22" t="s">
        <v>915</v>
      </c>
      <c r="D305" s="23"/>
      <c r="E305" s="5" t="s">
        <v>916</v>
      </c>
      <c r="F305" s="20"/>
      <c r="G305" s="20"/>
      <c r="H305" s="20"/>
      <c r="I305" s="26"/>
      <c r="J305" s="27"/>
    </row>
    <row r="306" hidden="1" spans="1:10">
      <c r="A306" s="5" t="s">
        <v>917</v>
      </c>
      <c r="B306" s="5"/>
      <c r="C306" s="22" t="s">
        <v>918</v>
      </c>
      <c r="D306" s="23"/>
      <c r="E306" s="5" t="s">
        <v>919</v>
      </c>
      <c r="F306" s="20"/>
      <c r="G306" s="20"/>
      <c r="H306" s="20"/>
      <c r="I306" s="26"/>
      <c r="J306" s="27"/>
    </row>
    <row r="307" hidden="1" spans="1:10">
      <c r="A307" s="5" t="s">
        <v>920</v>
      </c>
      <c r="B307" s="5"/>
      <c r="C307" s="22" t="s">
        <v>921</v>
      </c>
      <c r="D307" s="23"/>
      <c r="E307" s="5" t="s">
        <v>922</v>
      </c>
      <c r="F307" s="20"/>
      <c r="G307" s="20"/>
      <c r="H307" s="20"/>
      <c r="I307" s="26"/>
      <c r="J307" s="27"/>
    </row>
    <row r="308" hidden="1" spans="1:10">
      <c r="A308" s="5" t="s">
        <v>923</v>
      </c>
      <c r="B308" s="5"/>
      <c r="C308" s="22" t="s">
        <v>924</v>
      </c>
      <c r="D308" s="23"/>
      <c r="E308" s="5" t="s">
        <v>925</v>
      </c>
      <c r="F308" s="20"/>
      <c r="G308" s="20"/>
      <c r="H308" s="20"/>
      <c r="I308" s="26"/>
      <c r="J308" s="27"/>
    </row>
    <row r="309" hidden="1" spans="1:10">
      <c r="A309" s="5" t="s">
        <v>926</v>
      </c>
      <c r="B309" s="5"/>
      <c r="C309" s="22" t="s">
        <v>927</v>
      </c>
      <c r="D309" s="23"/>
      <c r="E309" s="5" t="s">
        <v>928</v>
      </c>
      <c r="F309" s="20"/>
      <c r="G309" s="20"/>
      <c r="H309" s="20"/>
      <c r="I309" s="26"/>
      <c r="J309" s="27"/>
    </row>
    <row r="310" hidden="1" spans="1:10">
      <c r="A310" s="5" t="s">
        <v>929</v>
      </c>
      <c r="B310" s="5"/>
      <c r="C310" s="22" t="s">
        <v>930</v>
      </c>
      <c r="D310" s="23"/>
      <c r="E310" s="5" t="s">
        <v>931</v>
      </c>
      <c r="F310" s="20"/>
      <c r="G310" s="20"/>
      <c r="H310" s="20"/>
      <c r="I310" s="26"/>
      <c r="J310" s="27"/>
    </row>
    <row r="311" hidden="1" spans="1:10">
      <c r="A311" s="5" t="s">
        <v>932</v>
      </c>
      <c r="B311" s="5"/>
      <c r="C311" s="22" t="s">
        <v>933</v>
      </c>
      <c r="D311" s="23"/>
      <c r="E311" s="5" t="s">
        <v>934</v>
      </c>
      <c r="F311" s="20"/>
      <c r="G311" s="20"/>
      <c r="H311" s="20"/>
      <c r="I311" s="26"/>
      <c r="J311" s="27"/>
    </row>
    <row r="312" hidden="1" spans="1:10">
      <c r="A312" s="5" t="s">
        <v>935</v>
      </c>
      <c r="B312" s="5"/>
      <c r="C312" s="22" t="s">
        <v>936</v>
      </c>
      <c r="D312" s="23"/>
      <c r="E312" s="5" t="s">
        <v>937</v>
      </c>
      <c r="F312" s="20"/>
      <c r="G312" s="20"/>
      <c r="H312" s="20"/>
      <c r="I312" s="26"/>
      <c r="J312" s="27"/>
    </row>
    <row r="313" hidden="1" spans="1:10">
      <c r="A313" s="5" t="s">
        <v>938</v>
      </c>
      <c r="B313" s="5"/>
      <c r="C313" s="22" t="s">
        <v>939</v>
      </c>
      <c r="D313" s="23"/>
      <c r="E313" s="5" t="s">
        <v>940</v>
      </c>
      <c r="F313" s="20"/>
      <c r="G313" s="20"/>
      <c r="H313" s="20"/>
      <c r="I313" s="26"/>
      <c r="J313" s="27"/>
    </row>
    <row r="314" hidden="1" spans="1:10">
      <c r="A314" s="5" t="s">
        <v>941</v>
      </c>
      <c r="B314" s="5"/>
      <c r="C314" s="22" t="s">
        <v>942</v>
      </c>
      <c r="D314" s="23"/>
      <c r="E314" s="5" t="s">
        <v>943</v>
      </c>
      <c r="F314" s="20"/>
      <c r="G314" s="20"/>
      <c r="H314" s="20"/>
      <c r="I314" s="26"/>
      <c r="J314" s="27"/>
    </row>
    <row r="315" hidden="1" spans="1:10">
      <c r="A315" s="5" t="s">
        <v>944</v>
      </c>
      <c r="B315" s="5"/>
      <c r="C315" s="22" t="s">
        <v>945</v>
      </c>
      <c r="D315" s="23"/>
      <c r="E315" s="5" t="s">
        <v>946</v>
      </c>
      <c r="F315" s="20"/>
      <c r="G315" s="20"/>
      <c r="H315" s="20"/>
      <c r="I315" s="26"/>
      <c r="J315" s="27"/>
    </row>
    <row r="316" hidden="1" spans="1:10">
      <c r="A316" s="5" t="s">
        <v>947</v>
      </c>
      <c r="B316" s="5"/>
      <c r="C316" s="22" t="s">
        <v>948</v>
      </c>
      <c r="D316" s="23"/>
      <c r="E316" s="5" t="s">
        <v>949</v>
      </c>
      <c r="F316" s="20"/>
      <c r="G316" s="20"/>
      <c r="H316" s="20"/>
      <c r="I316" s="26"/>
      <c r="J316" s="27"/>
    </row>
    <row r="317" hidden="1" spans="1:10">
      <c r="A317" s="5" t="s">
        <v>950</v>
      </c>
      <c r="B317" s="5"/>
      <c r="C317" s="22" t="s">
        <v>951</v>
      </c>
      <c r="D317" s="23"/>
      <c r="E317" s="5" t="s">
        <v>952</v>
      </c>
      <c r="F317" s="20"/>
      <c r="G317" s="20"/>
      <c r="H317" s="20"/>
      <c r="I317" s="26"/>
      <c r="J317" s="27"/>
    </row>
    <row r="318" hidden="1" spans="1:10">
      <c r="A318" s="5" t="s">
        <v>953</v>
      </c>
      <c r="B318" s="5"/>
      <c r="C318" s="22" t="s">
        <v>954</v>
      </c>
      <c r="D318" s="23"/>
      <c r="E318" s="5" t="s">
        <v>955</v>
      </c>
      <c r="F318" s="20"/>
      <c r="G318" s="20"/>
      <c r="H318" s="20"/>
      <c r="I318" s="26"/>
      <c r="J318" s="27"/>
    </row>
    <row r="319" hidden="1" spans="1:10">
      <c r="A319" s="5" t="s">
        <v>956</v>
      </c>
      <c r="B319" s="5"/>
      <c r="C319" s="22" t="s">
        <v>957</v>
      </c>
      <c r="D319" s="23"/>
      <c r="E319" s="5" t="s">
        <v>958</v>
      </c>
      <c r="F319" s="20"/>
      <c r="G319" s="20"/>
      <c r="H319" s="20"/>
      <c r="I319" s="26"/>
      <c r="J319" s="27"/>
    </row>
    <row r="320" hidden="1" spans="1:10">
      <c r="A320" s="5" t="s">
        <v>959</v>
      </c>
      <c r="B320" s="5"/>
      <c r="C320" s="22" t="s">
        <v>960</v>
      </c>
      <c r="D320" s="23"/>
      <c r="E320" s="5" t="s">
        <v>961</v>
      </c>
      <c r="F320" s="20"/>
      <c r="G320" s="20"/>
      <c r="H320" s="20"/>
      <c r="I320" s="26"/>
      <c r="J320" s="27"/>
    </row>
    <row r="321" hidden="1" spans="1:10">
      <c r="A321" s="5" t="s">
        <v>962</v>
      </c>
      <c r="B321" s="5"/>
      <c r="C321" s="22" t="s">
        <v>963</v>
      </c>
      <c r="D321" s="23"/>
      <c r="E321" s="5" t="s">
        <v>964</v>
      </c>
      <c r="F321" s="20"/>
      <c r="G321" s="20"/>
      <c r="H321" s="20"/>
      <c r="I321" s="26"/>
      <c r="J321" s="27"/>
    </row>
    <row r="322" hidden="1" spans="1:10">
      <c r="A322" s="5" t="s">
        <v>965</v>
      </c>
      <c r="B322" s="5"/>
      <c r="C322" s="22" t="s">
        <v>966</v>
      </c>
      <c r="D322" s="23"/>
      <c r="E322" s="5" t="s">
        <v>967</v>
      </c>
      <c r="F322" s="20"/>
      <c r="G322" s="20"/>
      <c r="H322" s="20"/>
      <c r="I322" s="26"/>
      <c r="J322" s="27"/>
    </row>
    <row r="323" hidden="1" spans="1:10">
      <c r="A323" s="5" t="s">
        <v>968</v>
      </c>
      <c r="B323" s="5"/>
      <c r="C323" s="22" t="s">
        <v>969</v>
      </c>
      <c r="D323" s="23"/>
      <c r="E323" s="5" t="s">
        <v>970</v>
      </c>
      <c r="F323" s="20"/>
      <c r="G323" s="20"/>
      <c r="H323" s="20"/>
      <c r="I323" s="26"/>
      <c r="J323" s="27"/>
    </row>
    <row r="324" hidden="1" spans="1:10">
      <c r="A324" s="5" t="s">
        <v>971</v>
      </c>
      <c r="B324" s="5"/>
      <c r="C324" s="22" t="s">
        <v>972</v>
      </c>
      <c r="D324" s="23"/>
      <c r="E324" s="5" t="s">
        <v>973</v>
      </c>
      <c r="F324" s="20"/>
      <c r="G324" s="20"/>
      <c r="H324" s="20"/>
      <c r="I324" s="26"/>
      <c r="J324" s="27"/>
    </row>
    <row r="325" hidden="1" spans="1:10">
      <c r="A325" s="5" t="s">
        <v>974</v>
      </c>
      <c r="B325" s="5"/>
      <c r="C325" s="22" t="s">
        <v>975</v>
      </c>
      <c r="D325" s="23"/>
      <c r="E325" s="5" t="s">
        <v>976</v>
      </c>
      <c r="F325" s="20"/>
      <c r="G325" s="20"/>
      <c r="H325" s="20"/>
      <c r="I325" s="26"/>
      <c r="J325" s="27"/>
    </row>
    <row r="326" hidden="1" spans="1:10">
      <c r="A326" s="5" t="s">
        <v>977</v>
      </c>
      <c r="B326" s="5"/>
      <c r="C326" s="22" t="s">
        <v>978</v>
      </c>
      <c r="D326" s="23"/>
      <c r="E326" s="5" t="s">
        <v>979</v>
      </c>
      <c r="F326" s="20"/>
      <c r="G326" s="20"/>
      <c r="H326" s="20"/>
      <c r="I326" s="26"/>
      <c r="J326" s="27"/>
    </row>
    <row r="327" hidden="1" spans="1:10">
      <c r="A327" s="5" t="s">
        <v>980</v>
      </c>
      <c r="B327" s="5"/>
      <c r="C327" s="22" t="s">
        <v>981</v>
      </c>
      <c r="D327" s="23"/>
      <c r="E327" s="5" t="s">
        <v>982</v>
      </c>
      <c r="F327" s="20"/>
      <c r="G327" s="20"/>
      <c r="H327" s="20"/>
      <c r="I327" s="26"/>
      <c r="J327" s="27"/>
    </row>
    <row r="328" hidden="1" spans="1:10">
      <c r="A328" s="5" t="s">
        <v>983</v>
      </c>
      <c r="B328" s="5"/>
      <c r="C328" s="22" t="s">
        <v>984</v>
      </c>
      <c r="D328" s="23"/>
      <c r="E328" s="5" t="s">
        <v>985</v>
      </c>
      <c r="F328" s="20"/>
      <c r="G328" s="20"/>
      <c r="H328" s="20"/>
      <c r="I328" s="26"/>
      <c r="J328" s="27"/>
    </row>
    <row r="329" hidden="1" spans="1:10">
      <c r="A329" s="5" t="s">
        <v>986</v>
      </c>
      <c r="B329" s="5"/>
      <c r="C329" s="22" t="s">
        <v>987</v>
      </c>
      <c r="D329" s="23"/>
      <c r="E329" s="5" t="s">
        <v>988</v>
      </c>
      <c r="F329" s="20"/>
      <c r="G329" s="20"/>
      <c r="H329" s="20"/>
      <c r="I329" s="26"/>
      <c r="J329" s="27"/>
    </row>
    <row r="330" hidden="1" spans="1:10">
      <c r="A330" s="5" t="s">
        <v>989</v>
      </c>
      <c r="B330" s="5"/>
      <c r="C330" s="22" t="s">
        <v>990</v>
      </c>
      <c r="D330" s="23"/>
      <c r="E330" s="5" t="s">
        <v>991</v>
      </c>
      <c r="F330" s="20"/>
      <c r="G330" s="20"/>
      <c r="H330" s="20"/>
      <c r="I330" s="26"/>
      <c r="J330" s="27"/>
    </row>
    <row r="331" hidden="1" spans="1:10">
      <c r="A331" s="5" t="s">
        <v>992</v>
      </c>
      <c r="B331" s="5"/>
      <c r="C331" s="22" t="s">
        <v>993</v>
      </c>
      <c r="D331" s="23"/>
      <c r="E331" s="5" t="s">
        <v>994</v>
      </c>
      <c r="F331" s="20"/>
      <c r="G331" s="20"/>
      <c r="H331" s="20"/>
      <c r="I331" s="26"/>
      <c r="J331" s="27"/>
    </row>
    <row r="332" hidden="1" spans="1:10">
      <c r="A332" s="5" t="s">
        <v>995</v>
      </c>
      <c r="B332" s="5"/>
      <c r="C332" s="22" t="s">
        <v>996</v>
      </c>
      <c r="D332" s="23"/>
      <c r="E332" s="5" t="s">
        <v>997</v>
      </c>
      <c r="F332" s="20"/>
      <c r="G332" s="20"/>
      <c r="H332" s="20"/>
      <c r="I332" s="26"/>
      <c r="J332" s="27"/>
    </row>
    <row r="333" hidden="1" spans="1:10">
      <c r="A333" s="5" t="s">
        <v>998</v>
      </c>
      <c r="B333" s="5"/>
      <c r="C333" s="22" t="s">
        <v>999</v>
      </c>
      <c r="D333" s="23"/>
      <c r="E333" s="5" t="s">
        <v>1000</v>
      </c>
      <c r="F333" s="20"/>
      <c r="G333" s="20"/>
      <c r="H333" s="20"/>
      <c r="I333" s="26"/>
      <c r="J333" s="27"/>
    </row>
    <row r="334" hidden="1" spans="1:10">
      <c r="A334" s="5" t="s">
        <v>1001</v>
      </c>
      <c r="B334" s="5"/>
      <c r="C334" s="22" t="s">
        <v>1002</v>
      </c>
      <c r="D334" s="23"/>
      <c r="E334" s="5" t="s">
        <v>1003</v>
      </c>
      <c r="F334" s="20"/>
      <c r="G334" s="20"/>
      <c r="H334" s="20"/>
      <c r="I334" s="26"/>
      <c r="J334" s="27"/>
    </row>
    <row r="335" hidden="1" spans="1:10">
      <c r="A335" s="5" t="s">
        <v>1004</v>
      </c>
      <c r="B335" s="5"/>
      <c r="C335" s="22" t="s">
        <v>1005</v>
      </c>
      <c r="D335" s="23"/>
      <c r="E335" s="5" t="s">
        <v>1006</v>
      </c>
      <c r="F335" s="20"/>
      <c r="G335" s="20"/>
      <c r="H335" s="20"/>
      <c r="I335" s="26"/>
      <c r="J335" s="27"/>
    </row>
    <row r="336" hidden="1" spans="1:10">
      <c r="A336" s="5" t="s">
        <v>1007</v>
      </c>
      <c r="B336" s="5"/>
      <c r="C336" s="22" t="s">
        <v>1008</v>
      </c>
      <c r="D336" s="23"/>
      <c r="E336" s="5" t="s">
        <v>1009</v>
      </c>
      <c r="F336" s="20"/>
      <c r="G336" s="20"/>
      <c r="H336" s="20"/>
      <c r="I336" s="26"/>
      <c r="J336" s="27"/>
    </row>
    <row r="337" hidden="1" spans="1:10">
      <c r="A337" s="5" t="s">
        <v>1010</v>
      </c>
      <c r="B337" s="5"/>
      <c r="C337" s="22" t="s">
        <v>1011</v>
      </c>
      <c r="D337" s="23"/>
      <c r="E337" s="5" t="s">
        <v>1012</v>
      </c>
      <c r="F337" s="20"/>
      <c r="G337" s="20"/>
      <c r="H337" s="20"/>
      <c r="I337" s="26"/>
      <c r="J337" s="27"/>
    </row>
    <row r="338" hidden="1" spans="1:10">
      <c r="A338" s="5" t="s">
        <v>1013</v>
      </c>
      <c r="B338" s="5"/>
      <c r="C338" s="22" t="s">
        <v>1014</v>
      </c>
      <c r="D338" s="23"/>
      <c r="E338" s="5" t="s">
        <v>1015</v>
      </c>
      <c r="F338" s="20"/>
      <c r="G338" s="20"/>
      <c r="H338" s="20"/>
      <c r="I338" s="26"/>
      <c r="J338" s="27"/>
    </row>
    <row r="339" hidden="1" spans="1:10">
      <c r="A339" s="5" t="s">
        <v>1016</v>
      </c>
      <c r="B339" s="5"/>
      <c r="C339" s="22" t="s">
        <v>1017</v>
      </c>
      <c r="D339" s="23"/>
      <c r="E339" s="5" t="s">
        <v>1018</v>
      </c>
      <c r="F339" s="20"/>
      <c r="G339" s="20"/>
      <c r="H339" s="20"/>
      <c r="I339" s="26"/>
      <c r="J339" s="27"/>
    </row>
    <row r="340" hidden="1" spans="1:10">
      <c r="A340" s="5" t="s">
        <v>1019</v>
      </c>
      <c r="B340" s="5"/>
      <c r="C340" s="22" t="s">
        <v>1020</v>
      </c>
      <c r="D340" s="23"/>
      <c r="E340" s="5" t="s">
        <v>1021</v>
      </c>
      <c r="F340" s="20"/>
      <c r="G340" s="20"/>
      <c r="H340" s="20"/>
      <c r="I340" s="26"/>
      <c r="J340" s="27"/>
    </row>
    <row r="341" hidden="1" spans="1:10">
      <c r="A341" s="5" t="s">
        <v>1022</v>
      </c>
      <c r="B341" s="5"/>
      <c r="C341" s="22" t="s">
        <v>1023</v>
      </c>
      <c r="D341" s="23"/>
      <c r="E341" s="5" t="s">
        <v>1024</v>
      </c>
      <c r="F341" s="20"/>
      <c r="G341" s="20"/>
      <c r="H341" s="20"/>
      <c r="I341" s="26"/>
      <c r="J341" s="27"/>
    </row>
    <row r="342" hidden="1" spans="1:10">
      <c r="A342" s="5" t="s">
        <v>1025</v>
      </c>
      <c r="B342" s="5"/>
      <c r="C342" s="22" t="s">
        <v>1026</v>
      </c>
      <c r="D342" s="23"/>
      <c r="E342" s="5" t="s">
        <v>1027</v>
      </c>
      <c r="F342" s="20"/>
      <c r="G342" s="20"/>
      <c r="H342" s="20"/>
      <c r="I342" s="26"/>
      <c r="J342" s="27"/>
    </row>
    <row r="343" hidden="1" spans="1:10">
      <c r="A343" s="5" t="s">
        <v>1028</v>
      </c>
      <c r="B343" s="5"/>
      <c r="C343" s="22" t="s">
        <v>1029</v>
      </c>
      <c r="D343" s="23"/>
      <c r="E343" s="5" t="s">
        <v>1030</v>
      </c>
      <c r="F343" s="20"/>
      <c r="G343" s="20"/>
      <c r="H343" s="20"/>
      <c r="I343" s="26"/>
      <c r="J343" s="27"/>
    </row>
    <row r="344" hidden="1" spans="1:10">
      <c r="A344" s="5" t="s">
        <v>1031</v>
      </c>
      <c r="B344" s="5"/>
      <c r="C344" s="22" t="s">
        <v>1032</v>
      </c>
      <c r="D344" s="23"/>
      <c r="E344" s="5" t="s">
        <v>1033</v>
      </c>
      <c r="F344" s="20"/>
      <c r="G344" s="20"/>
      <c r="H344" s="20"/>
      <c r="I344" s="26"/>
      <c r="J344" s="27"/>
    </row>
    <row r="345" hidden="1" spans="1:10">
      <c r="A345" s="5" t="s">
        <v>1034</v>
      </c>
      <c r="B345" s="5"/>
      <c r="C345" s="22" t="s">
        <v>1035</v>
      </c>
      <c r="D345" s="23"/>
      <c r="E345" s="5" t="s">
        <v>1036</v>
      </c>
      <c r="F345" s="20"/>
      <c r="G345" s="20"/>
      <c r="H345" s="20"/>
      <c r="I345" s="26"/>
      <c r="J345" s="27"/>
    </row>
    <row r="346" hidden="1" spans="1:10">
      <c r="A346" s="5" t="s">
        <v>1037</v>
      </c>
      <c r="B346" s="5"/>
      <c r="C346" s="22" t="s">
        <v>1038</v>
      </c>
      <c r="D346" s="23"/>
      <c r="E346" s="5" t="s">
        <v>1039</v>
      </c>
      <c r="F346" s="20"/>
      <c r="G346" s="20"/>
      <c r="H346" s="20"/>
      <c r="I346" s="26"/>
      <c r="J346" s="27"/>
    </row>
    <row r="347" hidden="1" spans="1:10">
      <c r="A347" s="5" t="s">
        <v>1040</v>
      </c>
      <c r="B347" s="5"/>
      <c r="C347" s="22" t="s">
        <v>1041</v>
      </c>
      <c r="D347" s="23"/>
      <c r="E347" s="5" t="s">
        <v>1042</v>
      </c>
      <c r="F347" s="20"/>
      <c r="G347" s="20"/>
      <c r="H347" s="20"/>
      <c r="I347" s="26"/>
      <c r="J347" s="27"/>
    </row>
    <row r="348" hidden="1" spans="1:10">
      <c r="A348" s="5" t="s">
        <v>1043</v>
      </c>
      <c r="B348" s="5"/>
      <c r="C348" s="22" t="s">
        <v>1044</v>
      </c>
      <c r="D348" s="23"/>
      <c r="E348" s="5" t="s">
        <v>1045</v>
      </c>
      <c r="F348" s="20"/>
      <c r="G348" s="20"/>
      <c r="H348" s="20"/>
      <c r="I348" s="26"/>
      <c r="J348" s="27"/>
    </row>
    <row r="349" hidden="1" spans="1:10">
      <c r="A349" s="5" t="s">
        <v>1046</v>
      </c>
      <c r="B349" s="5"/>
      <c r="C349" s="22" t="s">
        <v>1047</v>
      </c>
      <c r="D349" s="23"/>
      <c r="E349" s="5" t="s">
        <v>1048</v>
      </c>
      <c r="F349" s="20"/>
      <c r="G349" s="20"/>
      <c r="H349" s="20"/>
      <c r="I349" s="26"/>
      <c r="J349" s="27"/>
    </row>
    <row r="350" hidden="1" spans="1:10">
      <c r="A350" s="5" t="s">
        <v>1049</v>
      </c>
      <c r="B350" s="5"/>
      <c r="C350" s="22" t="s">
        <v>1050</v>
      </c>
      <c r="D350" s="23"/>
      <c r="E350" s="5" t="s">
        <v>1051</v>
      </c>
      <c r="F350" s="20"/>
      <c r="G350" s="20"/>
      <c r="H350" s="20"/>
      <c r="I350" s="26"/>
      <c r="J350" s="27"/>
    </row>
    <row r="351" hidden="1" spans="1:10">
      <c r="A351" s="5" t="s">
        <v>1052</v>
      </c>
      <c r="B351" s="5"/>
      <c r="C351" s="22" t="s">
        <v>1053</v>
      </c>
      <c r="D351" s="23"/>
      <c r="E351" s="5" t="s">
        <v>1054</v>
      </c>
      <c r="F351" s="20"/>
      <c r="G351" s="20"/>
      <c r="H351" s="20"/>
      <c r="I351" s="26"/>
      <c r="J351" s="27"/>
    </row>
    <row r="352" hidden="1" spans="1:10">
      <c r="A352" s="5" t="s">
        <v>1055</v>
      </c>
      <c r="B352" s="5"/>
      <c r="C352" s="22" t="s">
        <v>1056</v>
      </c>
      <c r="D352" s="23"/>
      <c r="E352" s="5" t="s">
        <v>1057</v>
      </c>
      <c r="F352" s="20"/>
      <c r="G352" s="20"/>
      <c r="H352" s="20"/>
      <c r="I352" s="26"/>
      <c r="J352" s="27"/>
    </row>
    <row r="353" hidden="1" spans="1:10">
      <c r="A353" s="5" t="s">
        <v>1058</v>
      </c>
      <c r="B353" s="5"/>
      <c r="C353" s="22" t="s">
        <v>1059</v>
      </c>
      <c r="D353" s="23"/>
      <c r="E353" s="5" t="s">
        <v>1060</v>
      </c>
      <c r="F353" s="20"/>
      <c r="G353" s="20"/>
      <c r="H353" s="20"/>
      <c r="I353" s="26"/>
      <c r="J353" s="27"/>
    </row>
    <row r="354" hidden="1" spans="1:10">
      <c r="A354" s="5" t="s">
        <v>1061</v>
      </c>
      <c r="B354" s="5"/>
      <c r="C354" s="22" t="s">
        <v>1062</v>
      </c>
      <c r="D354" s="23"/>
      <c r="E354" s="5" t="s">
        <v>1063</v>
      </c>
      <c r="F354" s="20"/>
      <c r="G354" s="20"/>
      <c r="H354" s="20"/>
      <c r="I354" s="26"/>
      <c r="J354" s="27"/>
    </row>
    <row r="355" hidden="1" spans="1:10">
      <c r="A355" s="5" t="s">
        <v>1064</v>
      </c>
      <c r="B355" s="5"/>
      <c r="C355" s="22" t="s">
        <v>1065</v>
      </c>
      <c r="D355" s="23"/>
      <c r="E355" s="5" t="s">
        <v>1066</v>
      </c>
      <c r="F355" s="20"/>
      <c r="G355" s="20"/>
      <c r="H355" s="20"/>
      <c r="I355" s="26"/>
      <c r="J355" s="27"/>
    </row>
    <row r="356" hidden="1" spans="1:10">
      <c r="A356" s="5" t="s">
        <v>1067</v>
      </c>
      <c r="B356" s="5"/>
      <c r="C356" s="22" t="s">
        <v>1068</v>
      </c>
      <c r="D356" s="23"/>
      <c r="E356" s="5" t="s">
        <v>1069</v>
      </c>
      <c r="F356" s="20"/>
      <c r="G356" s="20"/>
      <c r="H356" s="20"/>
      <c r="I356" s="26"/>
      <c r="J356" s="27"/>
    </row>
    <row r="357" hidden="1" spans="1:10">
      <c r="A357" s="5" t="s">
        <v>1070</v>
      </c>
      <c r="B357" s="5"/>
      <c r="C357" s="22" t="s">
        <v>1071</v>
      </c>
      <c r="D357" s="23"/>
      <c r="E357" s="5" t="s">
        <v>1072</v>
      </c>
      <c r="F357" s="20"/>
      <c r="G357" s="20"/>
      <c r="H357" s="20"/>
      <c r="I357" s="26"/>
      <c r="J357" s="27"/>
    </row>
    <row r="358" hidden="1" spans="1:10">
      <c r="A358" s="5" t="s">
        <v>1073</v>
      </c>
      <c r="B358" s="5"/>
      <c r="C358" s="22" t="s">
        <v>1074</v>
      </c>
      <c r="D358" s="23"/>
      <c r="E358" s="5" t="s">
        <v>1075</v>
      </c>
      <c r="F358" s="20"/>
      <c r="G358" s="20"/>
      <c r="H358" s="20"/>
      <c r="I358" s="26"/>
      <c r="J358" s="27"/>
    </row>
    <row r="359" hidden="1" spans="1:10">
      <c r="A359" s="5" t="s">
        <v>1076</v>
      </c>
      <c r="B359" s="5"/>
      <c r="C359" s="22" t="s">
        <v>1077</v>
      </c>
      <c r="D359" s="23"/>
      <c r="E359" s="5" t="s">
        <v>1078</v>
      </c>
      <c r="F359" s="20"/>
      <c r="G359" s="20"/>
      <c r="H359" s="20"/>
      <c r="I359" s="26"/>
      <c r="J359" s="27"/>
    </row>
    <row r="360" hidden="1" spans="1:10">
      <c r="A360" s="5" t="s">
        <v>1079</v>
      </c>
      <c r="B360" s="5"/>
      <c r="C360" s="22" t="s">
        <v>1080</v>
      </c>
      <c r="D360" s="23"/>
      <c r="E360" s="5" t="s">
        <v>1081</v>
      </c>
      <c r="F360" s="20"/>
      <c r="G360" s="20"/>
      <c r="H360" s="20"/>
      <c r="I360" s="26"/>
      <c r="J360" s="27"/>
    </row>
    <row r="361" hidden="1" spans="1:10">
      <c r="A361" s="5" t="s">
        <v>1082</v>
      </c>
      <c r="B361" s="5"/>
      <c r="C361" s="22" t="s">
        <v>1083</v>
      </c>
      <c r="D361" s="23"/>
      <c r="E361" s="5" t="s">
        <v>1084</v>
      </c>
      <c r="F361" s="20"/>
      <c r="G361" s="20"/>
      <c r="H361" s="20"/>
      <c r="I361" s="26"/>
      <c r="J361" s="27"/>
    </row>
    <row r="362" hidden="1" spans="1:10">
      <c r="A362" s="5" t="s">
        <v>1085</v>
      </c>
      <c r="B362" s="5"/>
      <c r="C362" s="22" t="s">
        <v>1086</v>
      </c>
      <c r="D362" s="23"/>
      <c r="E362" s="5" t="s">
        <v>1087</v>
      </c>
      <c r="F362" s="20"/>
      <c r="G362" s="20"/>
      <c r="H362" s="20"/>
      <c r="I362" s="26"/>
      <c r="J362" s="27"/>
    </row>
    <row r="363" ht="64.05" hidden="1" customHeight="1" spans="1:10">
      <c r="A363" s="5" t="s">
        <v>1088</v>
      </c>
      <c r="B363" s="5"/>
      <c r="C363" s="22" t="s">
        <v>1089</v>
      </c>
      <c r="D363" s="23"/>
      <c r="E363" s="5" t="s">
        <v>1090</v>
      </c>
      <c r="F363" s="36"/>
      <c r="G363" s="36"/>
      <c r="H363" s="36"/>
      <c r="I363" s="37"/>
      <c r="J363" s="38"/>
    </row>
    <row r="364" ht="96" hidden="1" customHeight="1" spans="1:10">
      <c r="A364" s="5" t="s">
        <v>1091</v>
      </c>
      <c r="B364" s="5"/>
      <c r="C364" s="22" t="s">
        <v>1092</v>
      </c>
      <c r="D364" s="23"/>
      <c r="E364" s="5" t="s">
        <v>1093</v>
      </c>
      <c r="F364" s="36"/>
      <c r="G364" s="36"/>
      <c r="H364" s="36"/>
      <c r="I364" s="37"/>
      <c r="J364" s="38"/>
    </row>
    <row r="365" ht="64.05" hidden="1" customHeight="1" spans="1:10">
      <c r="A365" s="5" t="s">
        <v>1094</v>
      </c>
      <c r="B365" s="5"/>
      <c r="C365" s="22" t="s">
        <v>1095</v>
      </c>
      <c r="D365" s="23"/>
      <c r="E365" s="5" t="s">
        <v>1096</v>
      </c>
      <c r="F365" s="36"/>
      <c r="G365" s="36"/>
      <c r="H365" s="36"/>
      <c r="I365" s="37"/>
      <c r="J365" s="38"/>
    </row>
    <row r="366" ht="64.05" hidden="1" customHeight="1" spans="1:10">
      <c r="A366" s="5" t="s">
        <v>1097</v>
      </c>
      <c r="B366" s="5"/>
      <c r="C366" s="22" t="s">
        <v>1098</v>
      </c>
      <c r="D366" s="23"/>
      <c r="E366" s="5" t="s">
        <v>1099</v>
      </c>
      <c r="F366" s="36"/>
      <c r="G366" s="36"/>
      <c r="H366" s="36"/>
      <c r="I366" s="37"/>
      <c r="J366" s="38"/>
    </row>
    <row r="367" ht="64.05" hidden="1" customHeight="1" spans="1:10">
      <c r="A367" s="5" t="s">
        <v>1100</v>
      </c>
      <c r="B367" s="5"/>
      <c r="C367" s="22" t="s">
        <v>1101</v>
      </c>
      <c r="D367" s="23"/>
      <c r="E367" s="5" t="s">
        <v>1102</v>
      </c>
      <c r="F367" s="36"/>
      <c r="G367" s="36"/>
      <c r="H367" s="36"/>
      <c r="I367" s="37"/>
      <c r="J367" s="38"/>
    </row>
    <row r="368" ht="64.05" hidden="1" customHeight="1" spans="1:10">
      <c r="A368" s="5" t="s">
        <v>1103</v>
      </c>
      <c r="B368" s="5"/>
      <c r="C368" s="22" t="s">
        <v>1104</v>
      </c>
      <c r="D368" s="23"/>
      <c r="E368" s="5" t="s">
        <v>1105</v>
      </c>
      <c r="F368" s="36"/>
      <c r="G368" s="36"/>
      <c r="H368" s="36"/>
      <c r="I368" s="37"/>
      <c r="J368" s="38"/>
    </row>
    <row r="369" ht="249" hidden="1" customHeight="1" spans="1:11">
      <c r="A369" s="5" t="s">
        <v>1106</v>
      </c>
      <c r="B369" s="5"/>
      <c r="C369" s="22" t="s">
        <v>1107</v>
      </c>
      <c r="D369" s="23"/>
      <c r="E369" s="5" t="s">
        <v>1108</v>
      </c>
      <c r="F369" s="36"/>
      <c r="G369" s="36"/>
      <c r="H369" s="36"/>
      <c r="I369" s="37"/>
      <c r="J369" s="38"/>
    </row>
    <row r="370" hidden="1" spans="1:11">
      <c r="A370" s="8" t="s">
        <v>1109</v>
      </c>
      <c r="B370" s="19"/>
      <c r="C370" s="20"/>
      <c r="D370" s="20"/>
      <c r="E370" s="20"/>
      <c r="F370" s="20"/>
      <c r="G370" s="20"/>
      <c r="H370" s="20"/>
      <c r="I370" s="20"/>
      <c r="J370" s="20"/>
    </row>
    <row r="371" hidden="1" spans="1:11">
      <c r="A371" s="5" t="s">
        <v>1</v>
      </c>
      <c r="B371" s="5"/>
      <c r="C371" s="22" t="s">
        <v>2</v>
      </c>
      <c r="D371" s="23"/>
      <c r="E371" s="5" t="s">
        <v>3</v>
      </c>
      <c r="F371" s="20"/>
      <c r="G371" s="20"/>
      <c r="H371" s="20"/>
      <c r="I371" s="26"/>
      <c r="J371" s="27"/>
      <c r="K371" t="e">
        <f>SUBTOTAL(9,#REF!)</f>
        <v>#REF!</v>
      </c>
    </row>
    <row r="372" hidden="1" spans="1:11">
      <c r="A372" s="5" t="s">
        <v>5</v>
      </c>
      <c r="B372" s="5"/>
      <c r="C372" s="22" t="s">
        <v>1110</v>
      </c>
      <c r="D372" s="23"/>
      <c r="E372" s="5" t="s">
        <v>1111</v>
      </c>
      <c r="F372" s="20"/>
      <c r="G372" s="20"/>
      <c r="H372" s="20"/>
      <c r="I372" s="26"/>
      <c r="J372" s="27"/>
    </row>
    <row r="373" hidden="1" spans="1:11">
      <c r="A373" s="5" t="s">
        <v>8</v>
      </c>
      <c r="B373" s="5"/>
      <c r="C373" s="22" t="s">
        <v>1112</v>
      </c>
      <c r="D373" s="23"/>
      <c r="E373" s="5" t="s">
        <v>1113</v>
      </c>
      <c r="F373" s="20"/>
      <c r="G373" s="20"/>
      <c r="H373" s="20"/>
      <c r="I373" s="26"/>
      <c r="J373" s="27"/>
    </row>
    <row r="374" hidden="1" spans="1:11">
      <c r="A374" s="5" t="s">
        <v>11</v>
      </c>
      <c r="B374" s="5"/>
      <c r="C374" s="22" t="s">
        <v>1114</v>
      </c>
      <c r="D374" s="23"/>
      <c r="E374" s="5" t="s">
        <v>1115</v>
      </c>
      <c r="F374" s="20"/>
      <c r="G374" s="20"/>
      <c r="H374" s="20"/>
      <c r="I374" s="26"/>
      <c r="J374" s="27"/>
    </row>
    <row r="375" hidden="1" spans="1:11">
      <c r="A375" s="5" t="s">
        <v>14</v>
      </c>
      <c r="B375" s="5"/>
      <c r="C375" s="22" t="s">
        <v>1116</v>
      </c>
      <c r="D375" s="23"/>
      <c r="E375" s="5" t="s">
        <v>1117</v>
      </c>
      <c r="F375" s="20"/>
      <c r="G375" s="20"/>
      <c r="H375" s="20"/>
      <c r="I375" s="26"/>
      <c r="J375" s="27"/>
    </row>
    <row r="376" hidden="1" spans="1:11">
      <c r="A376" s="5" t="s">
        <v>17</v>
      </c>
      <c r="B376" s="5"/>
      <c r="C376" s="22" t="s">
        <v>1118</v>
      </c>
      <c r="D376" s="23"/>
      <c r="E376" s="5" t="s">
        <v>1119</v>
      </c>
      <c r="F376" s="20"/>
      <c r="G376" s="20"/>
      <c r="H376" s="20"/>
      <c r="I376" s="26"/>
      <c r="J376" s="27"/>
    </row>
    <row r="377" hidden="1" spans="1:11">
      <c r="A377" s="5" t="s">
        <v>20</v>
      </c>
      <c r="B377" s="5"/>
      <c r="C377" s="22" t="s">
        <v>1120</v>
      </c>
      <c r="D377" s="23"/>
      <c r="E377" s="5" t="s">
        <v>1121</v>
      </c>
      <c r="F377" s="20"/>
      <c r="G377" s="20"/>
      <c r="H377" s="20"/>
      <c r="I377" s="26"/>
      <c r="J377" s="27"/>
    </row>
    <row r="378" hidden="1" spans="1:11">
      <c r="A378" s="5" t="s">
        <v>23</v>
      </c>
      <c r="B378" s="5"/>
      <c r="C378" s="22" t="s">
        <v>1122</v>
      </c>
      <c r="D378" s="23"/>
      <c r="E378" s="5" t="s">
        <v>1123</v>
      </c>
      <c r="F378" s="20"/>
      <c r="G378" s="20"/>
      <c r="H378" s="20"/>
      <c r="I378" s="26"/>
      <c r="J378" s="27"/>
    </row>
    <row r="379" hidden="1" spans="1:11">
      <c r="A379" s="5" t="s">
        <v>26</v>
      </c>
      <c r="B379" s="5"/>
      <c r="C379" s="22" t="s">
        <v>1124</v>
      </c>
      <c r="D379" s="23"/>
      <c r="E379" s="5" t="s">
        <v>1125</v>
      </c>
      <c r="F379" s="20"/>
      <c r="G379" s="20"/>
      <c r="H379" s="20"/>
      <c r="I379" s="26"/>
      <c r="J379" s="27"/>
    </row>
    <row r="380" hidden="1" spans="1:11">
      <c r="A380" s="5" t="s">
        <v>29</v>
      </c>
      <c r="B380" s="5"/>
      <c r="C380" s="22" t="s">
        <v>1126</v>
      </c>
      <c r="D380" s="23"/>
      <c r="E380" s="5" t="s">
        <v>1127</v>
      </c>
      <c r="F380" s="20"/>
      <c r="G380" s="20"/>
      <c r="H380" s="20"/>
      <c r="I380" s="26"/>
      <c r="J380" s="27"/>
    </row>
    <row r="381" hidden="1" spans="1:11">
      <c r="A381" s="5" t="s">
        <v>32</v>
      </c>
      <c r="B381" s="5"/>
      <c r="C381" s="22" t="s">
        <v>1128</v>
      </c>
      <c r="D381" s="23"/>
      <c r="E381" s="5" t="s">
        <v>1129</v>
      </c>
      <c r="F381" s="20"/>
      <c r="G381" s="20"/>
      <c r="H381" s="20"/>
      <c r="I381" s="26"/>
      <c r="J381" s="27"/>
    </row>
    <row r="382" hidden="1" spans="1:11">
      <c r="A382" s="5" t="s">
        <v>35</v>
      </c>
      <c r="B382" s="5"/>
      <c r="C382" s="22" t="s">
        <v>1130</v>
      </c>
      <c r="D382" s="23"/>
      <c r="E382" s="5" t="s">
        <v>1131</v>
      </c>
      <c r="F382" s="20"/>
      <c r="G382" s="20"/>
      <c r="H382" s="20"/>
      <c r="I382" s="26"/>
      <c r="J382" s="27"/>
    </row>
    <row r="383" hidden="1" spans="1:11">
      <c r="A383" s="5" t="s">
        <v>38</v>
      </c>
      <c r="B383" s="5"/>
      <c r="C383" s="22" t="s">
        <v>1132</v>
      </c>
      <c r="D383" s="23"/>
      <c r="E383" s="5" t="s">
        <v>1133</v>
      </c>
      <c r="F383" s="20"/>
      <c r="G383" s="20"/>
      <c r="H383" s="20"/>
      <c r="I383" s="26"/>
      <c r="J383" s="27"/>
    </row>
    <row r="384" hidden="1" spans="1:11">
      <c r="A384" s="5" t="s">
        <v>41</v>
      </c>
      <c r="B384" s="5"/>
      <c r="C384" s="22" t="s">
        <v>1134</v>
      </c>
      <c r="D384" s="23"/>
      <c r="E384" s="5" t="s">
        <v>1135</v>
      </c>
      <c r="F384" s="20"/>
      <c r="G384" s="20"/>
      <c r="H384" s="20"/>
      <c r="I384" s="26"/>
      <c r="J384" s="27"/>
    </row>
    <row r="385" hidden="1" spans="1:10">
      <c r="A385" s="5" t="s">
        <v>44</v>
      </c>
      <c r="B385" s="5"/>
      <c r="C385" s="22" t="s">
        <v>1136</v>
      </c>
      <c r="D385" s="23"/>
      <c r="E385" s="5" t="s">
        <v>1137</v>
      </c>
      <c r="F385" s="20"/>
      <c r="G385" s="20"/>
      <c r="H385" s="20"/>
      <c r="I385" s="26"/>
      <c r="J385" s="27"/>
    </row>
    <row r="386" hidden="1" spans="1:10">
      <c r="A386" s="5" t="s">
        <v>47</v>
      </c>
      <c r="B386" s="5"/>
      <c r="C386" s="22" t="s">
        <v>1138</v>
      </c>
      <c r="D386" s="23"/>
      <c r="E386" s="5" t="s">
        <v>1139</v>
      </c>
      <c r="F386" s="20"/>
      <c r="G386" s="20"/>
      <c r="H386" s="20"/>
      <c r="I386" s="26"/>
      <c r="J386" s="27"/>
    </row>
    <row r="387" hidden="1" spans="1:10">
      <c r="A387" s="5" t="s">
        <v>50</v>
      </c>
      <c r="B387" s="5"/>
      <c r="C387" s="22" t="s">
        <v>1140</v>
      </c>
      <c r="D387" s="23"/>
      <c r="E387" s="5" t="s">
        <v>1141</v>
      </c>
      <c r="F387" s="20"/>
      <c r="G387" s="20"/>
      <c r="H387" s="20"/>
      <c r="I387" s="26"/>
      <c r="J387" s="27"/>
    </row>
    <row r="388" hidden="1" spans="1:10">
      <c r="A388" s="5" t="s">
        <v>53</v>
      </c>
      <c r="B388" s="5"/>
      <c r="C388" s="22" t="s">
        <v>1142</v>
      </c>
      <c r="D388" s="23"/>
      <c r="E388" s="5" t="s">
        <v>1143</v>
      </c>
      <c r="F388" s="20"/>
      <c r="G388" s="20"/>
      <c r="H388" s="20"/>
      <c r="I388" s="26"/>
      <c r="J388" s="27"/>
    </row>
    <row r="389" hidden="1" spans="1:10">
      <c r="A389" s="5" t="s">
        <v>56</v>
      </c>
      <c r="B389" s="5"/>
      <c r="C389" s="22" t="s">
        <v>1144</v>
      </c>
      <c r="D389" s="23"/>
      <c r="E389" s="5" t="s">
        <v>1145</v>
      </c>
      <c r="F389" s="20"/>
      <c r="G389" s="20"/>
      <c r="H389" s="20"/>
      <c r="I389" s="26"/>
      <c r="J389" s="27"/>
    </row>
    <row r="390" hidden="1" spans="1:10">
      <c r="A390" s="5" t="s">
        <v>59</v>
      </c>
      <c r="B390" s="5"/>
      <c r="C390" s="22" t="s">
        <v>1146</v>
      </c>
      <c r="D390" s="23"/>
      <c r="E390" s="5" t="s">
        <v>1147</v>
      </c>
      <c r="F390" s="20"/>
      <c r="G390" s="20"/>
      <c r="H390" s="20"/>
      <c r="I390" s="26"/>
      <c r="J390" s="27"/>
    </row>
    <row r="391" hidden="1" spans="1:10">
      <c r="A391" s="5" t="s">
        <v>62</v>
      </c>
      <c r="B391" s="5"/>
      <c r="C391" s="22" t="s">
        <v>1148</v>
      </c>
      <c r="D391" s="23"/>
      <c r="E391" s="5" t="s">
        <v>1149</v>
      </c>
      <c r="F391" s="20"/>
      <c r="G391" s="20"/>
      <c r="H391" s="20"/>
      <c r="I391" s="26"/>
      <c r="J391" s="27"/>
    </row>
    <row r="392" hidden="1" spans="1:10">
      <c r="A392" s="5" t="s">
        <v>65</v>
      </c>
      <c r="B392" s="5"/>
      <c r="C392" s="22" t="s">
        <v>1150</v>
      </c>
      <c r="D392" s="23"/>
      <c r="E392" s="5" t="s">
        <v>1151</v>
      </c>
      <c r="F392" s="20"/>
      <c r="G392" s="20"/>
      <c r="H392" s="20"/>
      <c r="I392" s="26"/>
      <c r="J392" s="27"/>
    </row>
    <row r="393" hidden="1" spans="1:10">
      <c r="A393" s="5" t="s">
        <v>68</v>
      </c>
      <c r="B393" s="5"/>
      <c r="C393" s="22" t="s">
        <v>1152</v>
      </c>
      <c r="D393" s="23"/>
      <c r="E393" s="5" t="s">
        <v>1153</v>
      </c>
      <c r="F393" s="20"/>
      <c r="G393" s="20"/>
      <c r="H393" s="20"/>
      <c r="I393" s="26"/>
      <c r="J393" s="27"/>
    </row>
    <row r="394" hidden="1" spans="1:10">
      <c r="A394" s="5" t="s">
        <v>71</v>
      </c>
      <c r="B394" s="5"/>
      <c r="C394" s="22" t="s">
        <v>1154</v>
      </c>
      <c r="D394" s="23"/>
      <c r="E394" s="5" t="s">
        <v>1155</v>
      </c>
      <c r="F394" s="20"/>
      <c r="G394" s="20"/>
      <c r="H394" s="20"/>
      <c r="I394" s="26"/>
      <c r="J394" s="27"/>
    </row>
    <row r="395" hidden="1" spans="1:10">
      <c r="A395" s="5" t="s">
        <v>74</v>
      </c>
      <c r="B395" s="5"/>
      <c r="C395" s="22" t="s">
        <v>1156</v>
      </c>
      <c r="D395" s="23"/>
      <c r="E395" s="5" t="s">
        <v>1157</v>
      </c>
      <c r="F395" s="20"/>
      <c r="G395" s="20"/>
      <c r="H395" s="20"/>
      <c r="I395" s="26"/>
      <c r="J395" s="27"/>
    </row>
    <row r="396" hidden="1" spans="1:10">
      <c r="A396" s="5" t="s">
        <v>77</v>
      </c>
      <c r="B396" s="5"/>
      <c r="C396" s="22" t="s">
        <v>1158</v>
      </c>
      <c r="D396" s="23"/>
      <c r="E396" s="5" t="s">
        <v>1159</v>
      </c>
      <c r="F396" s="20"/>
      <c r="G396" s="20"/>
      <c r="H396" s="20"/>
      <c r="I396" s="26"/>
      <c r="J396" s="27"/>
    </row>
    <row r="397" hidden="1" spans="1:10">
      <c r="A397" s="5" t="s">
        <v>80</v>
      </c>
      <c r="B397" s="5"/>
      <c r="C397" s="22" t="s">
        <v>1160</v>
      </c>
      <c r="D397" s="23"/>
      <c r="E397" s="5" t="s">
        <v>1161</v>
      </c>
      <c r="F397" s="20"/>
      <c r="G397" s="20"/>
      <c r="H397" s="20"/>
      <c r="I397" s="26"/>
      <c r="J397" s="27"/>
    </row>
    <row r="398" hidden="1" spans="1:10">
      <c r="A398" s="5" t="s">
        <v>83</v>
      </c>
      <c r="B398" s="5"/>
      <c r="C398" s="22" t="s">
        <v>1162</v>
      </c>
      <c r="D398" s="23"/>
      <c r="E398" s="5" t="s">
        <v>1163</v>
      </c>
      <c r="F398" s="20"/>
      <c r="G398" s="20"/>
      <c r="H398" s="20"/>
      <c r="I398" s="26"/>
      <c r="J398" s="27"/>
    </row>
    <row r="399" hidden="1" spans="1:10">
      <c r="A399" s="5" t="s">
        <v>86</v>
      </c>
      <c r="B399" s="5"/>
      <c r="C399" s="22" t="s">
        <v>1164</v>
      </c>
      <c r="D399" s="23"/>
      <c r="E399" s="5" t="s">
        <v>1165</v>
      </c>
      <c r="F399" s="20"/>
      <c r="G399" s="20"/>
      <c r="H399" s="20"/>
      <c r="I399" s="26"/>
      <c r="J399" s="27"/>
    </row>
    <row r="400" hidden="1" spans="1:10">
      <c r="A400" s="5" t="s">
        <v>89</v>
      </c>
      <c r="B400" s="5"/>
      <c r="C400" s="22" t="s">
        <v>1166</v>
      </c>
      <c r="D400" s="23"/>
      <c r="E400" s="5" t="s">
        <v>1167</v>
      </c>
      <c r="F400" s="20"/>
      <c r="G400" s="20"/>
      <c r="H400" s="20"/>
      <c r="I400" s="26"/>
      <c r="J400" s="27"/>
    </row>
    <row r="401" hidden="1" spans="1:10">
      <c r="A401" s="5" t="s">
        <v>92</v>
      </c>
      <c r="B401" s="5"/>
      <c r="C401" s="22" t="s">
        <v>1168</v>
      </c>
      <c r="D401" s="23"/>
      <c r="E401" s="5" t="s">
        <v>1169</v>
      </c>
      <c r="F401" s="20"/>
      <c r="G401" s="20"/>
      <c r="H401" s="20"/>
      <c r="I401" s="26"/>
      <c r="J401" s="27"/>
    </row>
    <row r="402" hidden="1" spans="1:10">
      <c r="A402" s="5" t="s">
        <v>95</v>
      </c>
      <c r="B402" s="5"/>
      <c r="C402" s="22" t="s">
        <v>1170</v>
      </c>
      <c r="D402" s="23"/>
      <c r="E402" s="5" t="s">
        <v>1171</v>
      </c>
      <c r="F402" s="20"/>
      <c r="G402" s="20"/>
      <c r="H402" s="20"/>
      <c r="I402" s="26"/>
      <c r="J402" s="27"/>
    </row>
    <row r="403" hidden="1" spans="1:10">
      <c r="A403" s="5" t="s">
        <v>98</v>
      </c>
      <c r="B403" s="5"/>
      <c r="C403" s="39" t="s">
        <v>1172</v>
      </c>
      <c r="D403" s="23"/>
      <c r="E403" s="5" t="s">
        <v>1173</v>
      </c>
      <c r="F403" s="20"/>
      <c r="G403" s="20"/>
      <c r="H403" s="20"/>
      <c r="I403" s="26"/>
      <c r="J403" s="27"/>
    </row>
    <row r="404" hidden="1" spans="1:10">
      <c r="A404" s="5" t="s">
        <v>101</v>
      </c>
      <c r="B404" s="5"/>
      <c r="C404" s="22" t="s">
        <v>1174</v>
      </c>
      <c r="D404" s="23"/>
      <c r="E404" s="5" t="s">
        <v>1175</v>
      </c>
      <c r="F404" s="20"/>
      <c r="G404" s="20"/>
      <c r="H404" s="20"/>
      <c r="I404" s="26"/>
      <c r="J404" s="27"/>
    </row>
    <row r="405" hidden="1" spans="1:10">
      <c r="A405" s="5" t="s">
        <v>104</v>
      </c>
      <c r="B405" s="5"/>
      <c r="C405" s="22" t="s">
        <v>1176</v>
      </c>
      <c r="D405" s="23"/>
      <c r="E405" s="5" t="s">
        <v>1177</v>
      </c>
      <c r="F405" s="20"/>
      <c r="G405" s="20"/>
      <c r="H405" s="20"/>
      <c r="I405" s="26"/>
      <c r="J405" s="27"/>
    </row>
    <row r="406" hidden="1" spans="1:10">
      <c r="A406" s="5" t="s">
        <v>107</v>
      </c>
      <c r="B406" s="5"/>
      <c r="C406" s="22" t="s">
        <v>1178</v>
      </c>
      <c r="D406" s="23"/>
      <c r="E406" s="5" t="s">
        <v>1179</v>
      </c>
      <c r="F406" s="20"/>
      <c r="G406" s="20"/>
      <c r="H406" s="20"/>
      <c r="I406" s="26"/>
      <c r="J406" s="27"/>
    </row>
    <row r="407" hidden="1" spans="1:10">
      <c r="A407" s="5" t="s">
        <v>110</v>
      </c>
      <c r="B407" s="5"/>
      <c r="C407" s="22" t="s">
        <v>1180</v>
      </c>
      <c r="D407" s="23"/>
      <c r="E407" s="5" t="s">
        <v>1181</v>
      </c>
      <c r="F407" s="20"/>
      <c r="G407" s="20"/>
      <c r="H407" s="20"/>
      <c r="I407" s="26"/>
      <c r="J407" s="27"/>
    </row>
    <row r="408" hidden="1" spans="1:10">
      <c r="A408" s="5" t="s">
        <v>113</v>
      </c>
      <c r="B408" s="5"/>
      <c r="C408" s="22" t="s">
        <v>1182</v>
      </c>
      <c r="D408" s="23"/>
      <c r="E408" s="5" t="s">
        <v>1183</v>
      </c>
      <c r="F408" s="20"/>
      <c r="G408" s="20"/>
      <c r="H408" s="20"/>
      <c r="I408" s="26"/>
      <c r="J408" s="27"/>
    </row>
    <row r="409" hidden="1" spans="1:10">
      <c r="A409" s="5" t="s">
        <v>116</v>
      </c>
      <c r="B409" s="5"/>
      <c r="C409" s="22" t="s">
        <v>1184</v>
      </c>
      <c r="D409" s="23"/>
      <c r="E409" s="5" t="s">
        <v>1185</v>
      </c>
      <c r="F409" s="20"/>
      <c r="G409" s="20"/>
      <c r="H409" s="20"/>
      <c r="I409" s="26"/>
      <c r="J409" s="27"/>
    </row>
    <row r="410" hidden="1" spans="1:10">
      <c r="A410" s="5" t="s">
        <v>119</v>
      </c>
      <c r="B410" s="5"/>
      <c r="C410" s="22" t="s">
        <v>1186</v>
      </c>
      <c r="D410" s="23"/>
      <c r="E410" s="5" t="s">
        <v>1187</v>
      </c>
      <c r="F410" s="20"/>
      <c r="G410" s="20"/>
      <c r="H410" s="20"/>
      <c r="I410" s="26"/>
      <c r="J410" s="27"/>
    </row>
    <row r="411" hidden="1" spans="1:10">
      <c r="A411" s="5" t="s">
        <v>122</v>
      </c>
      <c r="B411" s="5"/>
      <c r="C411" s="22" t="s">
        <v>1188</v>
      </c>
      <c r="D411" s="23"/>
      <c r="E411" s="5" t="s">
        <v>1189</v>
      </c>
      <c r="F411" s="20"/>
      <c r="G411" s="20"/>
      <c r="H411" s="20"/>
      <c r="I411" s="26"/>
      <c r="J411" s="27"/>
    </row>
    <row r="412" hidden="1" spans="1:10">
      <c r="A412" s="5" t="s">
        <v>125</v>
      </c>
      <c r="B412" s="5"/>
      <c r="C412" s="22" t="s">
        <v>1190</v>
      </c>
      <c r="D412" s="23"/>
      <c r="E412" s="5" t="s">
        <v>1191</v>
      </c>
      <c r="F412" s="20"/>
      <c r="G412" s="20"/>
      <c r="H412" s="20"/>
      <c r="I412" s="26"/>
      <c r="J412" s="27"/>
    </row>
    <row r="413" hidden="1" spans="1:10">
      <c r="A413" s="5" t="s">
        <v>128</v>
      </c>
      <c r="B413" s="5"/>
      <c r="C413" s="22" t="s">
        <v>1192</v>
      </c>
      <c r="D413" s="23"/>
      <c r="E413" s="5" t="s">
        <v>1193</v>
      </c>
      <c r="F413" s="20"/>
      <c r="G413" s="20"/>
      <c r="H413" s="20"/>
      <c r="I413" s="26"/>
      <c r="J413" s="27"/>
    </row>
    <row r="414" hidden="1" spans="1:10">
      <c r="A414" s="5" t="s">
        <v>131</v>
      </c>
      <c r="B414" s="5"/>
      <c r="C414" s="22" t="s">
        <v>1194</v>
      </c>
      <c r="D414" s="23"/>
      <c r="E414" s="5" t="s">
        <v>1195</v>
      </c>
      <c r="F414" s="20"/>
      <c r="G414" s="20"/>
      <c r="H414" s="20"/>
      <c r="I414" s="26"/>
      <c r="J414" s="27"/>
    </row>
    <row r="415" hidden="1" spans="1:10">
      <c r="A415" s="5" t="s">
        <v>134</v>
      </c>
      <c r="B415" s="5"/>
      <c r="C415" s="22" t="s">
        <v>1196</v>
      </c>
      <c r="D415" s="23"/>
      <c r="E415" s="5" t="s">
        <v>1197</v>
      </c>
      <c r="F415" s="20"/>
      <c r="G415" s="20"/>
      <c r="H415" s="20"/>
      <c r="I415" s="26"/>
      <c r="J415" s="27"/>
    </row>
    <row r="416" hidden="1" spans="1:10">
      <c r="A416" s="5" t="s">
        <v>137</v>
      </c>
      <c r="B416" s="5"/>
      <c r="C416" s="22" t="s">
        <v>1198</v>
      </c>
      <c r="D416" s="23"/>
      <c r="E416" s="5" t="s">
        <v>1199</v>
      </c>
      <c r="F416" s="20"/>
      <c r="G416" s="20"/>
      <c r="H416" s="20"/>
      <c r="I416" s="26"/>
      <c r="J416" s="27"/>
    </row>
    <row r="417" hidden="1" spans="1:10">
      <c r="A417" s="5" t="s">
        <v>140</v>
      </c>
      <c r="B417" s="5"/>
      <c r="C417" s="22" t="s">
        <v>1200</v>
      </c>
      <c r="D417" s="23"/>
      <c r="E417" s="5" t="s">
        <v>1201</v>
      </c>
      <c r="F417" s="20"/>
      <c r="G417" s="20"/>
      <c r="H417" s="20"/>
      <c r="I417" s="26"/>
      <c r="J417" s="27"/>
    </row>
    <row r="418" hidden="1" spans="1:10">
      <c r="A418" s="5" t="s">
        <v>143</v>
      </c>
      <c r="B418" s="5"/>
      <c r="C418" s="22" t="s">
        <v>1202</v>
      </c>
      <c r="D418" s="23"/>
      <c r="E418" s="5" t="s">
        <v>1203</v>
      </c>
      <c r="F418" s="20"/>
      <c r="G418" s="20"/>
      <c r="H418" s="20"/>
      <c r="I418" s="26"/>
      <c r="J418" s="27"/>
    </row>
    <row r="419" hidden="1" spans="1:10">
      <c r="A419" s="5" t="s">
        <v>146</v>
      </c>
      <c r="B419" s="5"/>
      <c r="C419" s="22" t="s">
        <v>1204</v>
      </c>
      <c r="D419" s="23"/>
      <c r="E419" s="5" t="s">
        <v>1205</v>
      </c>
      <c r="F419" s="20"/>
      <c r="G419" s="20"/>
      <c r="H419" s="20"/>
      <c r="I419" s="26"/>
      <c r="J419" s="27"/>
    </row>
    <row r="420" hidden="1" spans="1:10">
      <c r="A420" s="5" t="s">
        <v>149</v>
      </c>
      <c r="B420" s="5"/>
      <c r="C420" s="22" t="s">
        <v>1206</v>
      </c>
      <c r="D420" s="23"/>
      <c r="E420" s="5" t="s">
        <v>1207</v>
      </c>
      <c r="F420" s="20"/>
      <c r="G420" s="20"/>
      <c r="H420" s="20"/>
      <c r="I420" s="26"/>
      <c r="J420" s="27"/>
    </row>
    <row r="421" hidden="1" spans="1:10">
      <c r="A421" s="5" t="s">
        <v>152</v>
      </c>
      <c r="B421" s="5"/>
      <c r="C421" s="22" t="s">
        <v>1208</v>
      </c>
      <c r="D421" s="23"/>
      <c r="E421" s="5" t="s">
        <v>1209</v>
      </c>
      <c r="F421" s="20"/>
      <c r="G421" s="20"/>
      <c r="H421" s="20"/>
      <c r="I421" s="26"/>
      <c r="J421" s="27"/>
    </row>
    <row r="422" hidden="1" spans="1:10">
      <c r="A422" s="5" t="s">
        <v>155</v>
      </c>
      <c r="B422" s="5"/>
      <c r="C422" s="22" t="s">
        <v>1210</v>
      </c>
      <c r="D422" s="23"/>
      <c r="E422" s="5" t="s">
        <v>1211</v>
      </c>
      <c r="F422" s="20"/>
      <c r="G422" s="20"/>
      <c r="H422" s="20"/>
      <c r="I422" s="26"/>
      <c r="J422" s="27"/>
    </row>
    <row r="423" hidden="1" spans="1:10">
      <c r="A423" s="5" t="s">
        <v>158</v>
      </c>
      <c r="B423" s="5"/>
      <c r="C423" s="30" t="s">
        <v>1212</v>
      </c>
      <c r="D423" s="31"/>
      <c r="E423" s="5" t="s">
        <v>1213</v>
      </c>
      <c r="F423" s="20"/>
      <c r="G423" s="20"/>
      <c r="H423" s="20"/>
      <c r="I423" s="26"/>
      <c r="J423" s="27"/>
    </row>
    <row r="424" hidden="1" spans="1:10">
      <c r="A424" s="5" t="s">
        <v>161</v>
      </c>
      <c r="B424" s="5"/>
      <c r="C424" s="30" t="s">
        <v>1214</v>
      </c>
      <c r="D424" s="31"/>
      <c r="E424" s="5" t="s">
        <v>1215</v>
      </c>
      <c r="F424" s="20"/>
      <c r="G424" s="20"/>
      <c r="H424" s="20"/>
      <c r="I424" s="26"/>
      <c r="J424" s="27"/>
    </row>
    <row r="425" hidden="1" spans="1:10">
      <c r="A425" s="5" t="s">
        <v>164</v>
      </c>
      <c r="B425" s="5"/>
      <c r="C425" s="30" t="s">
        <v>1216</v>
      </c>
      <c r="D425" s="31"/>
      <c r="E425" s="5" t="s">
        <v>1217</v>
      </c>
      <c r="F425" s="20"/>
      <c r="G425" s="20"/>
      <c r="H425" s="20"/>
      <c r="I425" s="26"/>
      <c r="J425" s="27"/>
    </row>
    <row r="426" hidden="1" spans="1:10">
      <c r="A426" s="5" t="s">
        <v>167</v>
      </c>
      <c r="B426" s="5"/>
      <c r="C426" s="30" t="s">
        <v>1218</v>
      </c>
      <c r="D426" s="31"/>
      <c r="E426" s="5" t="s">
        <v>1219</v>
      </c>
      <c r="F426" s="20"/>
      <c r="G426" s="20"/>
      <c r="H426" s="20"/>
      <c r="I426" s="26"/>
      <c r="J426" s="27"/>
    </row>
    <row r="427" hidden="1" spans="1:10">
      <c r="A427" s="5" t="s">
        <v>170</v>
      </c>
      <c r="B427" s="5"/>
      <c r="C427" s="30" t="s">
        <v>1220</v>
      </c>
      <c r="D427" s="31"/>
      <c r="E427" s="5" t="s">
        <v>1221</v>
      </c>
      <c r="F427" s="20"/>
      <c r="G427" s="20"/>
      <c r="H427" s="20"/>
      <c r="I427" s="26"/>
      <c r="J427" s="27"/>
    </row>
    <row r="428" hidden="1" spans="1:10">
      <c r="A428" s="5" t="s">
        <v>173</v>
      </c>
      <c r="B428" s="5"/>
      <c r="C428" s="22" t="s">
        <v>1222</v>
      </c>
      <c r="D428" s="23"/>
      <c r="E428" s="5" t="s">
        <v>1223</v>
      </c>
      <c r="F428" s="20"/>
      <c r="G428" s="20"/>
      <c r="H428" s="20"/>
      <c r="I428" s="26"/>
      <c r="J428" s="27"/>
    </row>
    <row r="429" hidden="1" spans="1:10">
      <c r="A429" s="5" t="s">
        <v>176</v>
      </c>
      <c r="B429" s="5"/>
      <c r="C429" s="22" t="s">
        <v>1224</v>
      </c>
      <c r="D429" s="23"/>
      <c r="E429" s="5" t="s">
        <v>1225</v>
      </c>
      <c r="F429" s="20"/>
      <c r="G429" s="20"/>
      <c r="H429" s="20"/>
      <c r="I429" s="26"/>
      <c r="J429" s="27"/>
    </row>
    <row r="430" hidden="1" spans="1:10">
      <c r="A430" s="5" t="s">
        <v>179</v>
      </c>
      <c r="B430" s="5"/>
      <c r="C430" s="30" t="s">
        <v>1226</v>
      </c>
      <c r="D430" s="31"/>
      <c r="E430" s="5" t="s">
        <v>1227</v>
      </c>
      <c r="F430" s="20"/>
      <c r="G430" s="20"/>
      <c r="H430" s="20"/>
      <c r="I430" s="26"/>
      <c r="J430" s="27"/>
    </row>
    <row r="431" hidden="1" spans="1:10">
      <c r="A431" s="5" t="s">
        <v>182</v>
      </c>
      <c r="B431" s="5"/>
      <c r="C431" s="22" t="s">
        <v>1228</v>
      </c>
      <c r="D431" s="23"/>
      <c r="E431" s="5" t="s">
        <v>1229</v>
      </c>
      <c r="F431" s="20"/>
      <c r="G431" s="20"/>
      <c r="H431" s="20"/>
      <c r="I431" s="26"/>
      <c r="J431" s="27"/>
    </row>
    <row r="432" hidden="1" spans="1:10">
      <c r="A432" s="5" t="s">
        <v>185</v>
      </c>
      <c r="B432" s="5"/>
      <c r="C432" s="30" t="s">
        <v>1230</v>
      </c>
      <c r="D432" s="31"/>
      <c r="E432" s="5" t="s">
        <v>1231</v>
      </c>
      <c r="F432" s="20"/>
      <c r="G432" s="20"/>
      <c r="H432" s="20"/>
      <c r="I432" s="26"/>
      <c r="J432" s="27"/>
    </row>
    <row r="433" hidden="1" spans="1:10">
      <c r="A433" s="5" t="s">
        <v>188</v>
      </c>
      <c r="B433" s="5"/>
      <c r="C433" s="30" t="s">
        <v>1232</v>
      </c>
      <c r="D433" s="31"/>
      <c r="E433" s="5" t="s">
        <v>1233</v>
      </c>
      <c r="F433" s="20"/>
      <c r="G433" s="20"/>
      <c r="H433" s="20"/>
      <c r="I433" s="26"/>
      <c r="J433" s="27"/>
    </row>
    <row r="434" hidden="1" spans="1:10">
      <c r="A434" s="5" t="s">
        <v>191</v>
      </c>
      <c r="B434" s="5"/>
      <c r="C434" s="30" t="s">
        <v>1234</v>
      </c>
      <c r="D434" s="31"/>
      <c r="E434" s="5" t="s">
        <v>1235</v>
      </c>
      <c r="F434" s="20"/>
      <c r="G434" s="20"/>
      <c r="H434" s="20"/>
      <c r="I434" s="26"/>
      <c r="J434" s="27"/>
    </row>
    <row r="435" hidden="1" spans="1:10">
      <c r="A435" s="5" t="s">
        <v>195</v>
      </c>
      <c r="B435" s="5"/>
      <c r="C435" s="30" t="s">
        <v>1236</v>
      </c>
      <c r="D435" s="31"/>
      <c r="E435" s="5" t="s">
        <v>1237</v>
      </c>
      <c r="F435" s="20"/>
      <c r="G435" s="20"/>
      <c r="H435" s="20"/>
      <c r="I435" s="26"/>
      <c r="J435" s="27"/>
    </row>
    <row r="436" hidden="1" spans="1:10">
      <c r="A436" s="5" t="s">
        <v>198</v>
      </c>
      <c r="B436" s="5"/>
      <c r="C436" s="22" t="s">
        <v>1238</v>
      </c>
      <c r="D436" s="23"/>
      <c r="E436" s="5" t="s">
        <v>1239</v>
      </c>
      <c r="F436" s="20"/>
      <c r="G436" s="20"/>
      <c r="H436" s="20"/>
      <c r="I436" s="26"/>
      <c r="J436" s="27"/>
    </row>
    <row r="437" hidden="1" spans="1:10">
      <c r="A437" s="5" t="s">
        <v>201</v>
      </c>
      <c r="B437" s="5"/>
      <c r="C437" s="22" t="s">
        <v>1240</v>
      </c>
      <c r="D437" s="23"/>
      <c r="E437" s="5" t="s">
        <v>1241</v>
      </c>
      <c r="F437" s="20"/>
      <c r="G437" s="20"/>
      <c r="H437" s="20"/>
      <c r="I437" s="26"/>
      <c r="J437" s="27"/>
    </row>
    <row r="438" hidden="1" spans="1:10">
      <c r="A438" s="5" t="s">
        <v>204</v>
      </c>
      <c r="B438" s="5"/>
      <c r="C438" s="22" t="s">
        <v>1242</v>
      </c>
      <c r="D438" s="23"/>
      <c r="E438" s="5" t="s">
        <v>1243</v>
      </c>
      <c r="F438" s="20"/>
      <c r="G438" s="20"/>
      <c r="H438" s="20"/>
      <c r="I438" s="26"/>
      <c r="J438" s="27"/>
    </row>
    <row r="439" hidden="1" spans="1:10">
      <c r="A439" s="5" t="s">
        <v>207</v>
      </c>
      <c r="B439" s="5"/>
      <c r="C439" s="22" t="s">
        <v>1244</v>
      </c>
      <c r="D439" s="23"/>
      <c r="E439" s="5" t="s">
        <v>1245</v>
      </c>
      <c r="F439" s="20"/>
      <c r="G439" s="20"/>
      <c r="H439" s="20"/>
      <c r="I439" s="26"/>
      <c r="J439" s="27"/>
    </row>
    <row r="440" hidden="1" spans="1:10">
      <c r="A440" s="5" t="s">
        <v>210</v>
      </c>
      <c r="B440" s="5"/>
      <c r="C440" s="22" t="s">
        <v>1246</v>
      </c>
      <c r="D440" s="23"/>
      <c r="E440" s="5" t="s">
        <v>1247</v>
      </c>
      <c r="F440" s="20"/>
      <c r="G440" s="20"/>
      <c r="H440" s="20"/>
      <c r="I440" s="26"/>
      <c r="J440" s="27"/>
    </row>
    <row r="441" hidden="1" spans="1:10">
      <c r="A441" s="5" t="s">
        <v>213</v>
      </c>
      <c r="B441" s="5"/>
      <c r="C441" s="22" t="s">
        <v>1248</v>
      </c>
      <c r="D441" s="23"/>
      <c r="E441" s="5" t="s">
        <v>1249</v>
      </c>
      <c r="F441" s="20"/>
      <c r="G441" s="20"/>
      <c r="H441" s="20"/>
      <c r="I441" s="26"/>
      <c r="J441" s="27"/>
    </row>
    <row r="442" hidden="1" spans="1:10">
      <c r="A442" s="5" t="s">
        <v>216</v>
      </c>
      <c r="B442" s="5"/>
      <c r="C442" s="22" t="s">
        <v>1250</v>
      </c>
      <c r="D442" s="23"/>
      <c r="E442" s="5" t="s">
        <v>1251</v>
      </c>
      <c r="F442" s="20"/>
      <c r="G442" s="20"/>
      <c r="H442" s="20"/>
      <c r="I442" s="26"/>
      <c r="J442" s="27"/>
    </row>
    <row r="443" hidden="1" spans="1:10">
      <c r="A443" s="5" t="s">
        <v>219</v>
      </c>
      <c r="B443" s="5"/>
      <c r="C443" s="22" t="s">
        <v>1252</v>
      </c>
      <c r="D443" s="23"/>
      <c r="E443" s="5" t="s">
        <v>1253</v>
      </c>
      <c r="F443" s="20"/>
      <c r="G443" s="20"/>
      <c r="H443" s="20"/>
      <c r="I443" s="26"/>
      <c r="J443" s="27"/>
    </row>
    <row r="444" hidden="1" spans="1:10">
      <c r="A444" s="5" t="s">
        <v>222</v>
      </c>
      <c r="B444" s="5"/>
      <c r="C444" s="22" t="s">
        <v>1254</v>
      </c>
      <c r="D444" s="23"/>
      <c r="E444" s="5" t="s">
        <v>1255</v>
      </c>
      <c r="F444" s="20"/>
      <c r="G444" s="20"/>
      <c r="H444" s="20"/>
      <c r="I444" s="26"/>
      <c r="J444" s="27"/>
    </row>
    <row r="445" hidden="1" spans="1:10">
      <c r="A445" s="5" t="s">
        <v>225</v>
      </c>
      <c r="B445" s="5"/>
      <c r="C445" s="22" t="s">
        <v>1256</v>
      </c>
      <c r="D445" s="23"/>
      <c r="E445" s="5" t="s">
        <v>1257</v>
      </c>
      <c r="F445" s="20"/>
      <c r="G445" s="20"/>
      <c r="H445" s="20"/>
      <c r="I445" s="26"/>
      <c r="J445" s="27"/>
    </row>
    <row r="446" hidden="1" spans="1:10">
      <c r="A446" s="5" t="s">
        <v>228</v>
      </c>
      <c r="B446" s="5"/>
      <c r="C446" s="22" t="s">
        <v>1258</v>
      </c>
      <c r="D446" s="23"/>
      <c r="E446" s="5" t="s">
        <v>1259</v>
      </c>
      <c r="F446" s="20"/>
      <c r="G446" s="20"/>
      <c r="H446" s="20"/>
      <c r="I446" s="26"/>
      <c r="J446" s="27"/>
    </row>
    <row r="447" hidden="1" spans="1:10">
      <c r="A447" s="5" t="s">
        <v>231</v>
      </c>
      <c r="B447" s="5"/>
      <c r="C447" s="22" t="s">
        <v>1260</v>
      </c>
      <c r="D447" s="23"/>
      <c r="E447" s="5" t="s">
        <v>1261</v>
      </c>
      <c r="F447" s="20"/>
      <c r="G447" s="20"/>
      <c r="H447" s="20"/>
      <c r="I447" s="26"/>
      <c r="J447" s="27"/>
    </row>
    <row r="448" hidden="1" spans="1:10">
      <c r="A448" s="5" t="s">
        <v>234</v>
      </c>
      <c r="B448" s="5"/>
      <c r="C448" s="22" t="s">
        <v>1262</v>
      </c>
      <c r="D448" s="23"/>
      <c r="E448" s="5" t="s">
        <v>1263</v>
      </c>
      <c r="F448" s="20"/>
      <c r="G448" s="20"/>
      <c r="H448" s="20"/>
      <c r="I448" s="26"/>
      <c r="J448" s="27"/>
    </row>
    <row r="449" hidden="1" spans="1:11">
      <c r="A449" s="5" t="s">
        <v>237</v>
      </c>
      <c r="B449" s="5"/>
      <c r="C449" s="22" t="s">
        <v>1264</v>
      </c>
      <c r="D449" s="23"/>
      <c r="E449" s="5" t="s">
        <v>1265</v>
      </c>
      <c r="F449" s="20"/>
      <c r="G449" s="20"/>
      <c r="H449" s="20"/>
      <c r="I449" s="26"/>
      <c r="J449" s="27"/>
    </row>
    <row r="450" hidden="1" spans="1:11">
      <c r="A450" s="5" t="s">
        <v>240</v>
      </c>
      <c r="B450" s="5"/>
      <c r="C450" s="22" t="s">
        <v>1266</v>
      </c>
      <c r="D450" s="23"/>
      <c r="E450" s="5" t="s">
        <v>1267</v>
      </c>
      <c r="F450" s="20"/>
      <c r="G450" s="20"/>
      <c r="H450" s="20"/>
      <c r="I450" s="26"/>
      <c r="J450" s="27"/>
    </row>
    <row r="451" hidden="1" spans="1:11">
      <c r="A451" s="5" t="s">
        <v>243</v>
      </c>
      <c r="B451" s="5"/>
      <c r="C451" s="39" t="s">
        <v>1268</v>
      </c>
      <c r="D451" s="23"/>
      <c r="E451" s="5" t="s">
        <v>1269</v>
      </c>
      <c r="F451" s="20"/>
      <c r="G451" s="20"/>
      <c r="H451" s="20"/>
      <c r="I451" s="26"/>
      <c r="J451" s="27"/>
    </row>
    <row r="452" hidden="1" spans="1:11">
      <c r="A452" s="5" t="s">
        <v>246</v>
      </c>
      <c r="B452" s="5"/>
      <c r="C452" s="22" t="s">
        <v>1270</v>
      </c>
      <c r="D452" s="23"/>
      <c r="E452" s="5" t="s">
        <v>1271</v>
      </c>
      <c r="F452" s="20"/>
      <c r="G452" s="20"/>
      <c r="H452" s="20"/>
      <c r="I452" s="26"/>
      <c r="J452" s="27"/>
    </row>
    <row r="453" hidden="1" spans="1:11">
      <c r="A453" s="5" t="s">
        <v>249</v>
      </c>
      <c r="B453" s="5"/>
      <c r="C453" s="22" t="s">
        <v>1272</v>
      </c>
      <c r="D453" s="23"/>
      <c r="E453" s="5" t="s">
        <v>1273</v>
      </c>
      <c r="F453" s="20"/>
      <c r="G453" s="20"/>
      <c r="H453" s="20"/>
      <c r="I453" s="26"/>
      <c r="J453" s="27"/>
    </row>
    <row r="454" hidden="1" spans="1:11">
      <c r="A454" s="5" t="s">
        <v>252</v>
      </c>
      <c r="B454" s="5"/>
      <c r="C454" s="22" t="s">
        <v>1274</v>
      </c>
      <c r="D454" s="23"/>
      <c r="E454" s="5" t="s">
        <v>1275</v>
      </c>
      <c r="F454" s="20"/>
      <c r="G454" s="20"/>
      <c r="H454" s="20"/>
      <c r="I454" s="26"/>
      <c r="J454" s="27"/>
    </row>
    <row r="455" hidden="1" spans="1:11">
      <c r="A455" s="5" t="s">
        <v>255</v>
      </c>
      <c r="B455" s="5"/>
      <c r="C455" s="22" t="s">
        <v>1276</v>
      </c>
      <c r="D455" s="23"/>
      <c r="E455" s="5" t="s">
        <v>1277</v>
      </c>
      <c r="F455" s="20"/>
      <c r="G455" s="20"/>
      <c r="H455" s="20"/>
      <c r="I455" s="26"/>
      <c r="J455" s="27"/>
    </row>
    <row r="456" hidden="1" spans="1:11">
      <c r="A456" s="5" t="s">
        <v>258</v>
      </c>
      <c r="B456" s="5"/>
      <c r="C456" s="22" t="s">
        <v>1278</v>
      </c>
      <c r="D456" s="23"/>
      <c r="E456" s="5" t="s">
        <v>1279</v>
      </c>
      <c r="F456" s="20"/>
      <c r="G456" s="20"/>
      <c r="H456" s="20"/>
      <c r="I456" s="26"/>
      <c r="J456" s="27"/>
    </row>
    <row r="457" hidden="1" spans="1:11">
      <c r="A457" s="8" t="s">
        <v>1280</v>
      </c>
      <c r="B457" s="19"/>
      <c r="C457" s="20"/>
      <c r="D457" s="20"/>
      <c r="E457" s="20"/>
      <c r="F457" s="20"/>
      <c r="G457" s="20"/>
      <c r="H457" s="20"/>
      <c r="I457" s="20"/>
      <c r="J457" s="20"/>
    </row>
    <row r="458" hidden="1" spans="1:11">
      <c r="A458" s="5" t="s">
        <v>1</v>
      </c>
      <c r="B458" s="5"/>
      <c r="C458" s="22" t="s">
        <v>2</v>
      </c>
      <c r="D458" s="23"/>
      <c r="E458" s="5" t="s">
        <v>3</v>
      </c>
      <c r="F458" s="20"/>
      <c r="G458" s="20"/>
      <c r="H458" s="20"/>
      <c r="I458" s="26"/>
      <c r="J458" s="27"/>
      <c r="K458" t="e">
        <f>SUBTOTAL(9,#REF!)</f>
        <v>#REF!</v>
      </c>
    </row>
    <row r="459" hidden="1" spans="1:11">
      <c r="A459" s="5" t="s">
        <v>5</v>
      </c>
      <c r="B459" s="5"/>
      <c r="C459" s="22" t="s">
        <v>1281</v>
      </c>
      <c r="D459" s="23"/>
      <c r="E459" s="5" t="s">
        <v>1282</v>
      </c>
      <c r="F459" s="20"/>
      <c r="G459" s="20"/>
      <c r="H459" s="20"/>
      <c r="I459" s="26"/>
      <c r="J459" s="27"/>
    </row>
    <row r="460" hidden="1" spans="1:11">
      <c r="A460" s="5" t="s">
        <v>8</v>
      </c>
      <c r="B460" s="5"/>
      <c r="C460" s="22" t="s">
        <v>1283</v>
      </c>
      <c r="D460" s="23"/>
      <c r="E460" s="5" t="s">
        <v>1284</v>
      </c>
      <c r="F460" s="20"/>
      <c r="G460" s="20"/>
      <c r="H460" s="20"/>
      <c r="I460" s="26"/>
      <c r="J460" s="27"/>
    </row>
    <row r="461" hidden="1" spans="1:11">
      <c r="A461" s="5" t="s">
        <v>11</v>
      </c>
      <c r="B461" s="5"/>
      <c r="C461" s="22" t="s">
        <v>1285</v>
      </c>
      <c r="D461" s="23"/>
      <c r="E461" s="5" t="s">
        <v>1286</v>
      </c>
      <c r="F461" s="20"/>
      <c r="G461" s="20"/>
      <c r="H461" s="20"/>
      <c r="I461" s="26"/>
      <c r="J461" s="27"/>
    </row>
    <row r="462" hidden="1" spans="1:11">
      <c r="A462" s="5" t="s">
        <v>14</v>
      </c>
      <c r="B462" s="5"/>
      <c r="C462" s="22" t="s">
        <v>1287</v>
      </c>
      <c r="D462" s="23"/>
      <c r="E462" s="5" t="s">
        <v>1288</v>
      </c>
      <c r="F462" s="20"/>
      <c r="G462" s="20"/>
      <c r="H462" s="20"/>
      <c r="I462" s="26"/>
      <c r="J462" s="27"/>
    </row>
    <row r="463" hidden="1" spans="1:11">
      <c r="A463" s="5" t="s">
        <v>17</v>
      </c>
      <c r="B463" s="5"/>
      <c r="C463" s="22" t="s">
        <v>1289</v>
      </c>
      <c r="D463" s="23"/>
      <c r="E463" s="5" t="s">
        <v>1290</v>
      </c>
      <c r="F463" s="20"/>
      <c r="G463" s="20"/>
      <c r="H463" s="20"/>
      <c r="I463" s="26"/>
      <c r="J463" s="27"/>
    </row>
    <row r="464" hidden="1" spans="1:11">
      <c r="A464" s="5" t="s">
        <v>20</v>
      </c>
      <c r="B464" s="5"/>
      <c r="C464" s="30" t="s">
        <v>1291</v>
      </c>
      <c r="D464" s="31"/>
      <c r="E464" s="5" t="s">
        <v>1292</v>
      </c>
      <c r="F464" s="20"/>
      <c r="G464" s="20"/>
      <c r="H464" s="20"/>
      <c r="I464" s="26"/>
      <c r="J464" s="27"/>
    </row>
    <row r="465" hidden="1" spans="1:10">
      <c r="A465" s="5" t="s">
        <v>23</v>
      </c>
      <c r="B465" s="5"/>
      <c r="C465" s="30" t="s">
        <v>1293</v>
      </c>
      <c r="D465" s="31"/>
      <c r="E465" s="5" t="s">
        <v>1294</v>
      </c>
      <c r="F465" s="20"/>
      <c r="G465" s="20"/>
      <c r="H465" s="20"/>
      <c r="I465" s="26"/>
      <c r="J465" s="27"/>
    </row>
    <row r="466" hidden="1" spans="1:10">
      <c r="A466" s="5" t="s">
        <v>26</v>
      </c>
      <c r="B466" s="5"/>
      <c r="C466" s="30" t="s">
        <v>1295</v>
      </c>
      <c r="D466" s="31"/>
      <c r="E466" s="5" t="s">
        <v>1296</v>
      </c>
      <c r="F466" s="20"/>
      <c r="G466" s="20"/>
      <c r="H466" s="20"/>
      <c r="I466" s="26"/>
      <c r="J466" s="27"/>
    </row>
    <row r="467" hidden="1" spans="1:10">
      <c r="A467" s="5" t="s">
        <v>29</v>
      </c>
      <c r="B467" s="5"/>
      <c r="C467" s="30" t="s">
        <v>1297</v>
      </c>
      <c r="D467" s="31"/>
      <c r="E467" s="5" t="s">
        <v>1298</v>
      </c>
      <c r="F467" s="20"/>
      <c r="G467" s="20"/>
      <c r="H467" s="20"/>
      <c r="I467" s="26"/>
      <c r="J467" s="27"/>
    </row>
    <row r="468" hidden="1" spans="1:10">
      <c r="A468" s="5" t="s">
        <v>32</v>
      </c>
      <c r="B468" s="5"/>
      <c r="C468" s="30" t="s">
        <v>1299</v>
      </c>
      <c r="D468" s="31"/>
      <c r="E468" s="5" t="s">
        <v>1300</v>
      </c>
      <c r="F468" s="20"/>
      <c r="G468" s="20"/>
      <c r="H468" s="20"/>
      <c r="I468" s="26"/>
      <c r="J468" s="27"/>
    </row>
    <row r="469" hidden="1" spans="1:10">
      <c r="A469" s="5" t="s">
        <v>35</v>
      </c>
      <c r="B469" s="5"/>
      <c r="C469" s="30" t="s">
        <v>1301</v>
      </c>
      <c r="D469" s="31"/>
      <c r="E469" s="5" t="s">
        <v>1302</v>
      </c>
      <c r="F469" s="20"/>
      <c r="G469" s="20"/>
      <c r="H469" s="20"/>
      <c r="I469" s="26"/>
      <c r="J469" s="27"/>
    </row>
    <row r="470" hidden="1" spans="1:10">
      <c r="A470" s="5" t="s">
        <v>38</v>
      </c>
      <c r="B470" s="5"/>
      <c r="C470" s="30" t="s">
        <v>1303</v>
      </c>
      <c r="D470" s="31"/>
      <c r="E470" s="5" t="s">
        <v>1304</v>
      </c>
      <c r="F470" s="20"/>
      <c r="G470" s="20"/>
      <c r="H470" s="20"/>
      <c r="I470" s="26"/>
      <c r="J470" s="27"/>
    </row>
    <row r="471" hidden="1" spans="1:10">
      <c r="A471" s="5" t="s">
        <v>41</v>
      </c>
      <c r="B471" s="5"/>
      <c r="C471" s="30" t="s">
        <v>1305</v>
      </c>
      <c r="D471" s="31"/>
      <c r="E471" s="5" t="s">
        <v>1306</v>
      </c>
      <c r="F471" s="20"/>
      <c r="G471" s="20"/>
      <c r="H471" s="20"/>
      <c r="I471" s="26"/>
      <c r="J471" s="27"/>
    </row>
    <row r="472" hidden="1" spans="1:10">
      <c r="A472" s="5" t="s">
        <v>44</v>
      </c>
      <c r="B472" s="5"/>
      <c r="C472" s="35" t="s">
        <v>1307</v>
      </c>
      <c r="D472" s="31"/>
      <c r="E472" s="5" t="s">
        <v>1308</v>
      </c>
      <c r="F472" s="20"/>
      <c r="G472" s="20"/>
      <c r="H472" s="20"/>
      <c r="I472" s="26"/>
      <c r="J472" s="27"/>
    </row>
    <row r="473" hidden="1" spans="1:10">
      <c r="A473" s="5" t="s">
        <v>47</v>
      </c>
      <c r="B473" s="5"/>
      <c r="C473" s="30" t="s">
        <v>1309</v>
      </c>
      <c r="D473" s="31"/>
      <c r="E473" s="5" t="s">
        <v>1310</v>
      </c>
      <c r="F473" s="20"/>
      <c r="G473" s="20"/>
      <c r="H473" s="20"/>
      <c r="I473" s="26"/>
      <c r="J473" s="27"/>
    </row>
    <row r="474" hidden="1" spans="1:10">
      <c r="A474" s="5" t="s">
        <v>50</v>
      </c>
      <c r="B474" s="5"/>
      <c r="C474" s="30" t="s">
        <v>1311</v>
      </c>
      <c r="D474" s="31"/>
      <c r="E474" s="5" t="s">
        <v>1312</v>
      </c>
      <c r="F474" s="20"/>
      <c r="G474" s="20"/>
      <c r="H474" s="20"/>
      <c r="I474" s="26"/>
      <c r="J474" s="27"/>
    </row>
    <row r="475" hidden="1" spans="1:10">
      <c r="A475" s="5" t="s">
        <v>53</v>
      </c>
      <c r="B475" s="5"/>
      <c r="C475" s="30" t="s">
        <v>1313</v>
      </c>
      <c r="D475" s="31"/>
      <c r="E475" s="5" t="s">
        <v>1314</v>
      </c>
      <c r="F475" s="20"/>
      <c r="G475" s="20"/>
      <c r="H475" s="20"/>
      <c r="I475" s="26"/>
      <c r="J475" s="27"/>
    </row>
    <row r="476" hidden="1" spans="1:10">
      <c r="A476" s="5" t="s">
        <v>56</v>
      </c>
      <c r="B476" s="5"/>
      <c r="C476" s="30" t="s">
        <v>1315</v>
      </c>
      <c r="D476" s="31"/>
      <c r="E476" s="5" t="s">
        <v>1316</v>
      </c>
      <c r="F476" s="20"/>
      <c r="G476" s="20"/>
      <c r="H476" s="20"/>
      <c r="I476" s="26"/>
      <c r="J476" s="27"/>
    </row>
    <row r="477" hidden="1" spans="1:10">
      <c r="A477" s="5" t="s">
        <v>59</v>
      </c>
      <c r="B477" s="5"/>
      <c r="C477" s="30" t="s">
        <v>1317</v>
      </c>
      <c r="D477" s="31"/>
      <c r="E477" s="5" t="s">
        <v>1318</v>
      </c>
      <c r="F477" s="20"/>
      <c r="G477" s="20"/>
      <c r="H477" s="20"/>
      <c r="I477" s="26"/>
      <c r="J477" s="27"/>
    </row>
    <row r="478" hidden="1" spans="1:10">
      <c r="A478" s="5" t="s">
        <v>62</v>
      </c>
      <c r="B478" s="5"/>
      <c r="C478" s="30" t="s">
        <v>1319</v>
      </c>
      <c r="D478" s="31"/>
      <c r="E478" s="5" t="s">
        <v>1320</v>
      </c>
      <c r="F478" s="20"/>
      <c r="G478" s="20"/>
      <c r="H478" s="20"/>
      <c r="I478" s="26"/>
      <c r="J478" s="27"/>
    </row>
    <row r="479" hidden="1" spans="1:10">
      <c r="A479" s="5" t="s">
        <v>65</v>
      </c>
      <c r="B479" s="5"/>
      <c r="C479" s="30" t="s">
        <v>1321</v>
      </c>
      <c r="D479" s="31"/>
      <c r="E479" s="5" t="s">
        <v>1322</v>
      </c>
      <c r="F479" s="20"/>
      <c r="G479" s="20"/>
      <c r="H479" s="20"/>
      <c r="I479" s="26"/>
      <c r="J479" s="27"/>
    </row>
    <row r="480" hidden="1" spans="1:10">
      <c r="A480" s="5" t="s">
        <v>68</v>
      </c>
      <c r="B480" s="5"/>
      <c r="C480" s="30" t="s">
        <v>1323</v>
      </c>
      <c r="D480" s="31"/>
      <c r="E480" s="5" t="s">
        <v>1324</v>
      </c>
      <c r="F480" s="20"/>
      <c r="G480" s="20"/>
      <c r="H480" s="20"/>
      <c r="I480" s="26"/>
      <c r="J480" s="27"/>
    </row>
    <row r="481" hidden="1" spans="1:10">
      <c r="A481" s="5" t="s">
        <v>71</v>
      </c>
      <c r="B481" s="5"/>
      <c r="C481" s="30" t="s">
        <v>1325</v>
      </c>
      <c r="D481" s="31"/>
      <c r="E481" s="5" t="s">
        <v>1326</v>
      </c>
      <c r="F481" s="20"/>
      <c r="G481" s="20"/>
      <c r="H481" s="20"/>
      <c r="I481" s="26"/>
      <c r="J481" s="27"/>
    </row>
    <row r="482" hidden="1" spans="1:10">
      <c r="A482" s="5" t="s">
        <v>74</v>
      </c>
      <c r="B482" s="5"/>
      <c r="C482" s="30" t="s">
        <v>1327</v>
      </c>
      <c r="D482" s="31"/>
      <c r="E482" s="5" t="s">
        <v>1328</v>
      </c>
      <c r="F482" s="20"/>
      <c r="G482" s="20"/>
      <c r="H482" s="20"/>
      <c r="I482" s="26"/>
      <c r="J482" s="27"/>
    </row>
    <row r="483" hidden="1" spans="1:10">
      <c r="A483" s="5" t="s">
        <v>77</v>
      </c>
      <c r="B483" s="5"/>
      <c r="C483" s="30" t="s">
        <v>1329</v>
      </c>
      <c r="D483" s="31"/>
      <c r="E483" s="5" t="s">
        <v>1330</v>
      </c>
      <c r="F483" s="20"/>
      <c r="G483" s="20"/>
      <c r="H483" s="20"/>
      <c r="I483" s="26"/>
      <c r="J483" s="27"/>
    </row>
    <row r="484" hidden="1" spans="1:10">
      <c r="A484" s="5" t="s">
        <v>80</v>
      </c>
      <c r="B484" s="5"/>
      <c r="C484" s="30" t="s">
        <v>1331</v>
      </c>
      <c r="D484" s="31"/>
      <c r="E484" s="5" t="s">
        <v>1332</v>
      </c>
      <c r="F484" s="20"/>
      <c r="G484" s="20"/>
      <c r="H484" s="20"/>
      <c r="I484" s="26"/>
      <c r="J484" s="27"/>
    </row>
    <row r="485" ht="54" customHeight="1" spans="1:10">
      <c r="A485" s="5" t="s">
        <v>83</v>
      </c>
      <c r="B485" s="5" t="s">
        <v>1333</v>
      </c>
      <c r="C485" s="39" t="s">
        <v>1334</v>
      </c>
      <c r="D485" s="23"/>
      <c r="E485" s="40" t="s">
        <v>1335</v>
      </c>
      <c r="F485" s="21"/>
      <c r="G485" s="21"/>
      <c r="H485" s="21"/>
      <c r="I485" s="24"/>
      <c r="J485" s="25"/>
    </row>
    <row r="486" ht="57" customHeight="1" spans="1:10">
      <c r="A486" s="5" t="s">
        <v>86</v>
      </c>
      <c r="B486" s="5" t="s">
        <v>1333</v>
      </c>
      <c r="C486" s="22" t="s">
        <v>1336</v>
      </c>
      <c r="D486" s="23"/>
      <c r="E486" s="40" t="s">
        <v>1337</v>
      </c>
      <c r="F486" s="21"/>
      <c r="G486" s="21"/>
      <c r="H486" s="21"/>
      <c r="I486" s="24"/>
      <c r="J486" s="25" t="s">
        <v>1338</v>
      </c>
    </row>
    <row r="487" ht="52" customHeight="1" spans="1:10">
      <c r="A487" s="5" t="s">
        <v>89</v>
      </c>
      <c r="B487" s="5" t="s">
        <v>1333</v>
      </c>
      <c r="C487" s="22" t="s">
        <v>1339</v>
      </c>
      <c r="D487" s="23"/>
      <c r="E487" s="40" t="s">
        <v>1340</v>
      </c>
      <c r="F487" s="21"/>
      <c r="G487" s="21"/>
      <c r="H487" s="21"/>
      <c r="I487" s="24"/>
      <c r="J487" s="25"/>
    </row>
    <row r="488" ht="99" customHeight="1" spans="1:10">
      <c r="A488" s="5" t="s">
        <v>92</v>
      </c>
      <c r="B488" s="5" t="s">
        <v>1333</v>
      </c>
      <c r="C488" s="22" t="s">
        <v>1341</v>
      </c>
      <c r="D488" s="23"/>
      <c r="E488" s="22" t="s">
        <v>1342</v>
      </c>
      <c r="F488" s="21"/>
      <c r="G488" s="21"/>
      <c r="H488" s="21"/>
      <c r="I488" s="24"/>
      <c r="J488" s="25"/>
    </row>
    <row r="489" ht="73" customHeight="1" spans="1:10">
      <c r="A489" s="5" t="s">
        <v>95</v>
      </c>
      <c r="B489" s="5" t="s">
        <v>1333</v>
      </c>
      <c r="C489" s="22" t="s">
        <v>1343</v>
      </c>
      <c r="D489" s="23"/>
      <c r="E489" s="40" t="s">
        <v>1344</v>
      </c>
      <c r="F489" s="21"/>
      <c r="G489" s="21"/>
      <c r="H489" s="21"/>
      <c r="I489" s="24"/>
      <c r="J489" s="25"/>
    </row>
    <row r="490" ht="69" customHeight="1" spans="1:10">
      <c r="A490" s="5" t="s">
        <v>98</v>
      </c>
      <c r="B490" s="5" t="s">
        <v>1333</v>
      </c>
      <c r="C490" s="22" t="s">
        <v>1345</v>
      </c>
      <c r="D490" s="23"/>
      <c r="E490" s="40" t="s">
        <v>1346</v>
      </c>
      <c r="F490" s="21"/>
      <c r="G490" s="21"/>
      <c r="H490" s="21"/>
      <c r="I490" s="24"/>
      <c r="J490" s="25"/>
    </row>
    <row r="491" s="16" customFormat="1" ht="61" customHeight="1" spans="1:10">
      <c r="A491" s="41" t="s">
        <v>101</v>
      </c>
      <c r="B491" s="41" t="s">
        <v>1333</v>
      </c>
      <c r="C491" s="42" t="s">
        <v>1347</v>
      </c>
      <c r="D491" s="43"/>
      <c r="E491" s="42" t="s">
        <v>1348</v>
      </c>
      <c r="F491" s="44"/>
      <c r="G491" s="44"/>
      <c r="H491" s="44"/>
      <c r="I491" s="45"/>
      <c r="J491" s="46" t="s">
        <v>1349</v>
      </c>
    </row>
    <row r="492" s="16" customFormat="1" ht="87" customHeight="1" spans="1:10">
      <c r="A492" s="41" t="s">
        <v>104</v>
      </c>
      <c r="B492" s="41" t="s">
        <v>1333</v>
      </c>
      <c r="C492" s="42" t="s">
        <v>1350</v>
      </c>
      <c r="D492" s="43"/>
      <c r="E492" s="42" t="s">
        <v>1351</v>
      </c>
      <c r="F492" s="44"/>
      <c r="G492" s="44"/>
      <c r="H492" s="44"/>
      <c r="I492" s="45"/>
      <c r="J492" s="46" t="s">
        <v>1349</v>
      </c>
    </row>
    <row r="493" s="16" customFormat="1" ht="74" customHeight="1" spans="1:10">
      <c r="A493" s="41" t="s">
        <v>107</v>
      </c>
      <c r="B493" s="41" t="s">
        <v>1333</v>
      </c>
      <c r="C493" s="42" t="s">
        <v>1352</v>
      </c>
      <c r="D493" s="43"/>
      <c r="E493" s="42" t="s">
        <v>1353</v>
      </c>
      <c r="F493" s="44"/>
      <c r="G493" s="44"/>
      <c r="H493" s="44"/>
      <c r="I493" s="45"/>
      <c r="J493" s="46" t="s">
        <v>1354</v>
      </c>
    </row>
    <row r="494" s="16" customFormat="1" ht="55" customHeight="1" spans="1:10">
      <c r="A494" s="41" t="s">
        <v>110</v>
      </c>
      <c r="B494" s="41" t="s">
        <v>1333</v>
      </c>
      <c r="C494" s="42" t="s">
        <v>1355</v>
      </c>
      <c r="D494" s="43"/>
      <c r="E494" s="47" t="s">
        <v>1356</v>
      </c>
      <c r="F494" s="44"/>
      <c r="G494" s="44"/>
      <c r="H494" s="44"/>
      <c r="I494" s="45"/>
      <c r="J494" s="46" t="s">
        <v>1357</v>
      </c>
    </row>
    <row r="495" s="16" customFormat="1" ht="28" spans="1:10">
      <c r="A495" s="41" t="s">
        <v>113</v>
      </c>
      <c r="B495" s="41" t="s">
        <v>1333</v>
      </c>
      <c r="C495" s="42" t="s">
        <v>1358</v>
      </c>
      <c r="D495" s="43"/>
      <c r="E495" s="42" t="s">
        <v>1359</v>
      </c>
      <c r="F495" s="44"/>
      <c r="G495" s="44"/>
      <c r="H495" s="44"/>
      <c r="I495" s="45"/>
      <c r="J495" s="46" t="s">
        <v>1360</v>
      </c>
    </row>
    <row r="496" s="16" customFormat="1" ht="28" spans="1:10">
      <c r="A496" s="41" t="s">
        <v>116</v>
      </c>
      <c r="B496" s="41" t="s">
        <v>1333</v>
      </c>
      <c r="C496" s="42" t="s">
        <v>1361</v>
      </c>
      <c r="D496" s="43"/>
      <c r="E496" s="47" t="s">
        <v>1362</v>
      </c>
      <c r="F496" s="44"/>
      <c r="G496" s="44"/>
      <c r="H496" s="44"/>
      <c r="I496" s="45"/>
      <c r="J496" s="46" t="s">
        <v>1363</v>
      </c>
    </row>
    <row r="497" s="16" customFormat="1" ht="39" customHeight="1" spans="1:10">
      <c r="A497" s="41" t="s">
        <v>119</v>
      </c>
      <c r="B497" s="41" t="s">
        <v>1333</v>
      </c>
      <c r="C497" s="42" t="s">
        <v>1364</v>
      </c>
      <c r="D497" s="43"/>
      <c r="E497" s="42" t="s">
        <v>1365</v>
      </c>
      <c r="F497" s="44"/>
      <c r="G497" s="44"/>
      <c r="H497" s="44"/>
      <c r="I497" s="45"/>
      <c r="J497" s="46" t="s">
        <v>1366</v>
      </c>
    </row>
    <row r="498" s="16" customFormat="1" ht="39" customHeight="1" spans="1:10">
      <c r="A498" s="41" t="s">
        <v>122</v>
      </c>
      <c r="B498" s="41" t="s">
        <v>1333</v>
      </c>
      <c r="C498" s="42" t="s">
        <v>1367</v>
      </c>
      <c r="D498" s="43"/>
      <c r="E498" s="42" t="s">
        <v>1368</v>
      </c>
      <c r="F498" s="44"/>
      <c r="G498" s="44"/>
      <c r="H498" s="44"/>
      <c r="I498" s="45"/>
      <c r="J498" s="46"/>
    </row>
    <row r="499" s="16" customFormat="1" ht="83" customHeight="1" spans="1:10">
      <c r="A499" s="41" t="s">
        <v>125</v>
      </c>
      <c r="B499" s="41" t="s">
        <v>1333</v>
      </c>
      <c r="C499" s="42" t="s">
        <v>1369</v>
      </c>
      <c r="D499" s="43"/>
      <c r="E499" s="42" t="s">
        <v>1370</v>
      </c>
      <c r="F499" s="44"/>
      <c r="G499" s="44"/>
      <c r="H499" s="44"/>
      <c r="I499" s="45"/>
      <c r="J499" s="46"/>
    </row>
    <row r="500" ht="38" customHeight="1" spans="1:10">
      <c r="A500" s="5" t="s">
        <v>128</v>
      </c>
      <c r="B500" s="5" t="s">
        <v>1333</v>
      </c>
      <c r="C500" s="22" t="s">
        <v>1371</v>
      </c>
      <c r="D500" s="23"/>
      <c r="E500" s="22" t="s">
        <v>1372</v>
      </c>
      <c r="F500" s="21"/>
      <c r="G500" s="21"/>
      <c r="H500" s="21"/>
      <c r="I500" s="24"/>
      <c r="J500" s="25"/>
    </row>
    <row r="501" ht="28" spans="1:10">
      <c r="A501" s="48" t="s">
        <v>131</v>
      </c>
      <c r="B501" s="48" t="s">
        <v>1333</v>
      </c>
      <c r="C501" s="49" t="s">
        <v>1373</v>
      </c>
      <c r="D501" s="50"/>
      <c r="E501" s="49" t="s">
        <v>1374</v>
      </c>
      <c r="F501" s="51"/>
      <c r="G501" s="51"/>
      <c r="H501" s="51"/>
      <c r="I501" s="52"/>
      <c r="J501" s="25" t="s">
        <v>1375</v>
      </c>
    </row>
    <row r="502" ht="65" spans="1:10">
      <c r="A502" s="48" t="s">
        <v>134</v>
      </c>
      <c r="B502" s="48" t="s">
        <v>1333</v>
      </c>
      <c r="C502" s="49" t="s">
        <v>1376</v>
      </c>
      <c r="D502" s="50"/>
      <c r="E502" s="49" t="s">
        <v>1377</v>
      </c>
      <c r="F502" s="51"/>
      <c r="G502" s="51"/>
      <c r="H502" s="51"/>
      <c r="I502" s="52"/>
      <c r="J502" s="25" t="s">
        <v>1378</v>
      </c>
    </row>
    <row r="503" ht="51" customHeight="1" spans="1:10">
      <c r="A503" s="48" t="s">
        <v>137</v>
      </c>
      <c r="B503" s="48" t="s">
        <v>1333</v>
      </c>
      <c r="C503" s="49" t="s">
        <v>1379</v>
      </c>
      <c r="D503" s="50"/>
      <c r="E503" s="53" t="s">
        <v>1380</v>
      </c>
      <c r="F503" s="51"/>
      <c r="G503" s="51"/>
      <c r="H503" s="51"/>
      <c r="I503" s="52"/>
      <c r="J503" s="25" t="s">
        <v>1381</v>
      </c>
    </row>
    <row r="504" ht="28" spans="1:10">
      <c r="A504" s="48" t="s">
        <v>140</v>
      </c>
      <c r="B504" s="48" t="s">
        <v>1333</v>
      </c>
      <c r="C504" s="49" t="s">
        <v>1382</v>
      </c>
      <c r="D504" s="50"/>
      <c r="E504" s="49" t="s">
        <v>1383</v>
      </c>
      <c r="F504" s="51"/>
      <c r="G504" s="51"/>
      <c r="H504" s="51"/>
      <c r="I504" s="52"/>
      <c r="J504" s="25" t="s">
        <v>1384</v>
      </c>
    </row>
    <row r="505" ht="69" customHeight="1" spans="1:10">
      <c r="A505" s="48" t="s">
        <v>143</v>
      </c>
      <c r="B505" s="48" t="s">
        <v>1333</v>
      </c>
      <c r="C505" s="49" t="s">
        <v>1385</v>
      </c>
      <c r="D505" s="50"/>
      <c r="E505" s="49" t="s">
        <v>1386</v>
      </c>
      <c r="F505" s="51"/>
      <c r="G505" s="51"/>
      <c r="H505" s="51"/>
      <c r="I505" s="52"/>
      <c r="J505" s="25" t="s">
        <v>1387</v>
      </c>
    </row>
    <row r="506" ht="28" spans="1:10">
      <c r="A506" s="48" t="s">
        <v>146</v>
      </c>
      <c r="B506" s="48" t="s">
        <v>1333</v>
      </c>
      <c r="C506" s="49" t="s">
        <v>1388</v>
      </c>
      <c r="D506" s="50"/>
      <c r="E506" s="49" t="s">
        <v>1389</v>
      </c>
      <c r="F506" s="51"/>
      <c r="G506" s="51"/>
      <c r="H506" s="51"/>
      <c r="I506" s="52"/>
      <c r="J506" s="25" t="s">
        <v>1390</v>
      </c>
    </row>
    <row r="507" ht="60" customHeight="1" spans="1:10">
      <c r="A507" s="48" t="s">
        <v>149</v>
      </c>
      <c r="B507" s="48" t="s">
        <v>1333</v>
      </c>
      <c r="C507" s="49" t="s">
        <v>1391</v>
      </c>
      <c r="D507" s="50"/>
      <c r="E507" s="49" t="s">
        <v>1392</v>
      </c>
      <c r="F507" s="51"/>
      <c r="G507" s="51"/>
      <c r="H507" s="51"/>
      <c r="I507" s="52"/>
      <c r="J507" s="25" t="s">
        <v>1393</v>
      </c>
    </row>
    <row r="508" ht="28" spans="1:10">
      <c r="A508" s="48" t="s">
        <v>152</v>
      </c>
      <c r="B508" s="48" t="s">
        <v>1333</v>
      </c>
      <c r="C508" s="49" t="s">
        <v>1394</v>
      </c>
      <c r="D508" s="50"/>
      <c r="E508" s="49" t="s">
        <v>1395</v>
      </c>
      <c r="F508" s="51"/>
      <c r="G508" s="51"/>
      <c r="H508" s="51"/>
      <c r="I508" s="52"/>
      <c r="J508" s="25" t="s">
        <v>1396</v>
      </c>
    </row>
    <row r="509" ht="28" spans="1:10">
      <c r="A509" s="48" t="s">
        <v>155</v>
      </c>
      <c r="B509" s="48" t="s">
        <v>1333</v>
      </c>
      <c r="C509" s="49" t="s">
        <v>1397</v>
      </c>
      <c r="D509" s="50"/>
      <c r="E509" s="49" t="s">
        <v>1398</v>
      </c>
      <c r="F509" s="51"/>
      <c r="G509" s="51"/>
      <c r="H509" s="51"/>
      <c r="I509" s="52"/>
      <c r="J509" s="25" t="s">
        <v>1399</v>
      </c>
    </row>
    <row r="510" ht="28" spans="1:10">
      <c r="A510" s="48" t="s">
        <v>158</v>
      </c>
      <c r="B510" s="48" t="s">
        <v>1333</v>
      </c>
      <c r="C510" s="49" t="s">
        <v>1400</v>
      </c>
      <c r="D510" s="50"/>
      <c r="E510" s="49" t="s">
        <v>1401</v>
      </c>
      <c r="F510" s="51"/>
      <c r="G510" s="51"/>
      <c r="H510" s="51"/>
      <c r="I510" s="52"/>
      <c r="J510" s="25"/>
    </row>
    <row r="511" ht="92" customHeight="1" spans="1:10">
      <c r="A511" s="48" t="s">
        <v>161</v>
      </c>
      <c r="B511" s="48" t="s">
        <v>1333</v>
      </c>
      <c r="C511" s="49" t="s">
        <v>1402</v>
      </c>
      <c r="D511" s="50"/>
      <c r="E511" s="49" t="s">
        <v>1403</v>
      </c>
      <c r="F511" s="51"/>
      <c r="G511" s="51"/>
      <c r="H511" s="51"/>
      <c r="I511" s="52"/>
      <c r="J511" s="25"/>
    </row>
    <row r="512" ht="28" spans="1:10">
      <c r="A512" s="5" t="s">
        <v>164</v>
      </c>
      <c r="B512" s="5" t="s">
        <v>1333</v>
      </c>
      <c r="C512" s="30" t="s">
        <v>1404</v>
      </c>
      <c r="D512" s="31"/>
      <c r="E512" s="22" t="s">
        <v>1405</v>
      </c>
      <c r="F512" s="21"/>
      <c r="G512" s="21"/>
      <c r="H512" s="21"/>
      <c r="I512" s="24"/>
      <c r="J512" s="25"/>
    </row>
  </sheetData>
  <autoFilter xmlns:etc="http://www.wps.cn/officeDocument/2017/etCustomData" ref="A2:L512" etc:filterBottomFollowUsedRange="0">
    <filterColumn colId="1">
      <customFilters>
        <customFilter operator="equal" val="失业人员全维度帮扶"/>
      </customFilters>
    </filterColumn>
    <extLst/>
  </autoFilter>
  <mergeCells count="1021">
    <mergeCell ref="A1:J1"/>
    <mergeCell ref="C2:D2"/>
    <mergeCell ref="E2:I2"/>
    <mergeCell ref="C3:D3"/>
    <mergeCell ref="E3:I3"/>
    <mergeCell ref="C4:D4"/>
    <mergeCell ref="E4:I4"/>
    <mergeCell ref="C5:D5"/>
    <mergeCell ref="E5:I5"/>
    <mergeCell ref="C6:D6"/>
    <mergeCell ref="E6:I6"/>
    <mergeCell ref="C7:D7"/>
    <mergeCell ref="E7:I7"/>
    <mergeCell ref="C8:D8"/>
    <mergeCell ref="E8:I8"/>
    <mergeCell ref="C9:D9"/>
    <mergeCell ref="E9:I9"/>
    <mergeCell ref="C10:D10"/>
    <mergeCell ref="E10:I10"/>
    <mergeCell ref="C11:D11"/>
    <mergeCell ref="E11:I11"/>
    <mergeCell ref="C12:D12"/>
    <mergeCell ref="E12:I12"/>
    <mergeCell ref="C13:D13"/>
    <mergeCell ref="E13:I13"/>
    <mergeCell ref="C14:D14"/>
    <mergeCell ref="E14:I14"/>
    <mergeCell ref="C15:D15"/>
    <mergeCell ref="E15:I15"/>
    <mergeCell ref="C16:D16"/>
    <mergeCell ref="E16:I16"/>
    <mergeCell ref="C17:D17"/>
    <mergeCell ref="E17:I17"/>
    <mergeCell ref="C18:D18"/>
    <mergeCell ref="E18:I18"/>
    <mergeCell ref="C19:D19"/>
    <mergeCell ref="E19:I19"/>
    <mergeCell ref="C20:D20"/>
    <mergeCell ref="E20:I20"/>
    <mergeCell ref="C21:D21"/>
    <mergeCell ref="E21:I21"/>
    <mergeCell ref="C22:D22"/>
    <mergeCell ref="E22:I22"/>
    <mergeCell ref="C23:D23"/>
    <mergeCell ref="E23:I23"/>
    <mergeCell ref="C24:D24"/>
    <mergeCell ref="E24:I24"/>
    <mergeCell ref="C25:D25"/>
    <mergeCell ref="E25:I25"/>
    <mergeCell ref="C26:D26"/>
    <mergeCell ref="E26:I26"/>
    <mergeCell ref="C27:D27"/>
    <mergeCell ref="E27:I27"/>
    <mergeCell ref="C28:D28"/>
    <mergeCell ref="E28:I28"/>
    <mergeCell ref="C29:D29"/>
    <mergeCell ref="E29:I29"/>
    <mergeCell ref="C30:D30"/>
    <mergeCell ref="E30:I30"/>
    <mergeCell ref="C31:D31"/>
    <mergeCell ref="E31:I31"/>
    <mergeCell ref="C32:D32"/>
    <mergeCell ref="E32:I32"/>
    <mergeCell ref="C33:D33"/>
    <mergeCell ref="E33:I33"/>
    <mergeCell ref="C34:D34"/>
    <mergeCell ref="E34:I34"/>
    <mergeCell ref="C35:D35"/>
    <mergeCell ref="E35:I35"/>
    <mergeCell ref="C36:D36"/>
    <mergeCell ref="E36:I36"/>
    <mergeCell ref="C37:D37"/>
    <mergeCell ref="E37:I37"/>
    <mergeCell ref="C38:D38"/>
    <mergeCell ref="E38:I38"/>
    <mergeCell ref="C39:D39"/>
    <mergeCell ref="E39:I39"/>
    <mergeCell ref="C40:D40"/>
    <mergeCell ref="E40:I40"/>
    <mergeCell ref="C41:D41"/>
    <mergeCell ref="E41:I41"/>
    <mergeCell ref="C42:D42"/>
    <mergeCell ref="E42:I42"/>
    <mergeCell ref="C43:D43"/>
    <mergeCell ref="E43:I43"/>
    <mergeCell ref="C44:D44"/>
    <mergeCell ref="E44:I44"/>
    <mergeCell ref="C45:D45"/>
    <mergeCell ref="E45:I45"/>
    <mergeCell ref="C46:D46"/>
    <mergeCell ref="E46:I46"/>
    <mergeCell ref="C47:D47"/>
    <mergeCell ref="E47:I47"/>
    <mergeCell ref="C48:D48"/>
    <mergeCell ref="E48:I48"/>
    <mergeCell ref="C49:D49"/>
    <mergeCell ref="E49:I49"/>
    <mergeCell ref="C50:D50"/>
    <mergeCell ref="E50:I50"/>
    <mergeCell ref="C51:D51"/>
    <mergeCell ref="E51:I51"/>
    <mergeCell ref="C52:D52"/>
    <mergeCell ref="E52:I52"/>
    <mergeCell ref="C53:D53"/>
    <mergeCell ref="E53:I53"/>
    <mergeCell ref="C54:D54"/>
    <mergeCell ref="E54:I54"/>
    <mergeCell ref="C55:D55"/>
    <mergeCell ref="E55:I55"/>
    <mergeCell ref="C56:D56"/>
    <mergeCell ref="E56:I56"/>
    <mergeCell ref="C57:D57"/>
    <mergeCell ref="E57:I57"/>
    <mergeCell ref="C58:D58"/>
    <mergeCell ref="E58:I58"/>
    <mergeCell ref="C59:D59"/>
    <mergeCell ref="E59:I59"/>
    <mergeCell ref="C60:D60"/>
    <mergeCell ref="E60:I60"/>
    <mergeCell ref="C61:D61"/>
    <mergeCell ref="E61:I61"/>
    <mergeCell ref="C62:D62"/>
    <mergeCell ref="E62:I62"/>
    <mergeCell ref="C63:D63"/>
    <mergeCell ref="E63:I63"/>
    <mergeCell ref="C64:D64"/>
    <mergeCell ref="E64:I64"/>
    <mergeCell ref="C65:D65"/>
    <mergeCell ref="E65:I65"/>
    <mergeCell ref="C66:D66"/>
    <mergeCell ref="E66:I66"/>
    <mergeCell ref="C67:D67"/>
    <mergeCell ref="E67:I67"/>
    <mergeCell ref="C68:D68"/>
    <mergeCell ref="E68:I68"/>
    <mergeCell ref="C69:D69"/>
    <mergeCell ref="E69:I69"/>
    <mergeCell ref="C70:D70"/>
    <mergeCell ref="E70:I70"/>
    <mergeCell ref="C71:D71"/>
    <mergeCell ref="E71:I71"/>
    <mergeCell ref="C72:D72"/>
    <mergeCell ref="E72:I72"/>
    <mergeCell ref="C73:D73"/>
    <mergeCell ref="E73:I73"/>
    <mergeCell ref="C74:D74"/>
    <mergeCell ref="E74:I74"/>
    <mergeCell ref="C75:D75"/>
    <mergeCell ref="E75:I75"/>
    <mergeCell ref="C76:D76"/>
    <mergeCell ref="E76:I76"/>
    <mergeCell ref="C77:D77"/>
    <mergeCell ref="E77:I77"/>
    <mergeCell ref="C78:D78"/>
    <mergeCell ref="E78:I78"/>
    <mergeCell ref="C79:D79"/>
    <mergeCell ref="E79:I79"/>
    <mergeCell ref="C80:D80"/>
    <mergeCell ref="E80:I80"/>
    <mergeCell ref="C81:D81"/>
    <mergeCell ref="E81:I81"/>
    <mergeCell ref="C82:D82"/>
    <mergeCell ref="E82:I82"/>
    <mergeCell ref="C83:D83"/>
    <mergeCell ref="E83:I83"/>
    <mergeCell ref="C84:D84"/>
    <mergeCell ref="E84:I84"/>
    <mergeCell ref="C85:D85"/>
    <mergeCell ref="E85:I85"/>
    <mergeCell ref="C86:D86"/>
    <mergeCell ref="E86:I86"/>
    <mergeCell ref="C87:D87"/>
    <mergeCell ref="E87:I87"/>
    <mergeCell ref="C88:D88"/>
    <mergeCell ref="E88:I88"/>
    <mergeCell ref="C89:D89"/>
    <mergeCell ref="E89:I89"/>
    <mergeCell ref="C90:D90"/>
    <mergeCell ref="E90:I90"/>
    <mergeCell ref="C91:D91"/>
    <mergeCell ref="E91:I91"/>
    <mergeCell ref="C92:D92"/>
    <mergeCell ref="E92:I92"/>
    <mergeCell ref="C93:D93"/>
    <mergeCell ref="E93:I93"/>
    <mergeCell ref="C94:D94"/>
    <mergeCell ref="E94:I94"/>
    <mergeCell ref="C95:D95"/>
    <mergeCell ref="E95:I95"/>
    <mergeCell ref="C96:D96"/>
    <mergeCell ref="E96:I96"/>
    <mergeCell ref="C97:D97"/>
    <mergeCell ref="E97:I97"/>
    <mergeCell ref="C98:D98"/>
    <mergeCell ref="E98:I98"/>
    <mergeCell ref="C99:D99"/>
    <mergeCell ref="E99:I99"/>
    <mergeCell ref="C100:D100"/>
    <mergeCell ref="E100:I100"/>
    <mergeCell ref="C101:D101"/>
    <mergeCell ref="E101:I101"/>
    <mergeCell ref="C102:D102"/>
    <mergeCell ref="E102:I102"/>
    <mergeCell ref="C103:D103"/>
    <mergeCell ref="E103:I103"/>
    <mergeCell ref="C104:D104"/>
    <mergeCell ref="E104:I104"/>
    <mergeCell ref="C105:D105"/>
    <mergeCell ref="E105:I105"/>
    <mergeCell ref="C106:D106"/>
    <mergeCell ref="E106:I106"/>
    <mergeCell ref="C107:D107"/>
    <mergeCell ref="E107:I107"/>
    <mergeCell ref="C108:D108"/>
    <mergeCell ref="E108:I108"/>
    <mergeCell ref="C109:D109"/>
    <mergeCell ref="E109:I109"/>
    <mergeCell ref="C110:D110"/>
    <mergeCell ref="E110:I110"/>
    <mergeCell ref="C111:D111"/>
    <mergeCell ref="E111:I111"/>
    <mergeCell ref="C112:D112"/>
    <mergeCell ref="E112:I112"/>
    <mergeCell ref="C113:D113"/>
    <mergeCell ref="E113:I113"/>
    <mergeCell ref="C114:D114"/>
    <mergeCell ref="E114:I114"/>
    <mergeCell ref="C115:D115"/>
    <mergeCell ref="E115:I115"/>
    <mergeCell ref="C116:D116"/>
    <mergeCell ref="E116:I116"/>
    <mergeCell ref="C117:D117"/>
    <mergeCell ref="E117:I117"/>
    <mergeCell ref="C118:D118"/>
    <mergeCell ref="E118:I118"/>
    <mergeCell ref="C119:D119"/>
    <mergeCell ref="E119:I119"/>
    <mergeCell ref="C120:D120"/>
    <mergeCell ref="E120:I120"/>
    <mergeCell ref="C121:D121"/>
    <mergeCell ref="E121:I121"/>
    <mergeCell ref="C122:D122"/>
    <mergeCell ref="E122:I122"/>
    <mergeCell ref="C123:D123"/>
    <mergeCell ref="E123:I123"/>
    <mergeCell ref="C124:D124"/>
    <mergeCell ref="E124:I124"/>
    <mergeCell ref="C125:D125"/>
    <mergeCell ref="E125:I125"/>
    <mergeCell ref="C126:D126"/>
    <mergeCell ref="E126:I126"/>
    <mergeCell ref="C127:D127"/>
    <mergeCell ref="E127:I127"/>
    <mergeCell ref="C128:D128"/>
    <mergeCell ref="E128:I128"/>
    <mergeCell ref="C129:D129"/>
    <mergeCell ref="E129:I129"/>
    <mergeCell ref="C130:D130"/>
    <mergeCell ref="E130:I130"/>
    <mergeCell ref="C131:D131"/>
    <mergeCell ref="E131:I131"/>
    <mergeCell ref="C132:D132"/>
    <mergeCell ref="E132:I132"/>
    <mergeCell ref="C133:D133"/>
    <mergeCell ref="E133:I133"/>
    <mergeCell ref="C134:D134"/>
    <mergeCell ref="E134:I134"/>
    <mergeCell ref="C135:D135"/>
    <mergeCell ref="E135:I135"/>
    <mergeCell ref="C136:D136"/>
    <mergeCell ref="E136:I136"/>
    <mergeCell ref="C137:D137"/>
    <mergeCell ref="E137:I137"/>
    <mergeCell ref="C138:D138"/>
    <mergeCell ref="E138:I138"/>
    <mergeCell ref="C139:D139"/>
    <mergeCell ref="E139:I139"/>
    <mergeCell ref="C140:D140"/>
    <mergeCell ref="E140:I140"/>
    <mergeCell ref="C141:D141"/>
    <mergeCell ref="E141:I141"/>
    <mergeCell ref="C142:D142"/>
    <mergeCell ref="E142:I142"/>
    <mergeCell ref="C143:D143"/>
    <mergeCell ref="E143:I143"/>
    <mergeCell ref="C144:D144"/>
    <mergeCell ref="E144:I144"/>
    <mergeCell ref="C145:D145"/>
    <mergeCell ref="E145:I145"/>
    <mergeCell ref="C146:D146"/>
    <mergeCell ref="E146:I146"/>
    <mergeCell ref="C147:D147"/>
    <mergeCell ref="E147:I147"/>
    <mergeCell ref="C148:D148"/>
    <mergeCell ref="E148:I148"/>
    <mergeCell ref="C149:D149"/>
    <mergeCell ref="E149:I149"/>
    <mergeCell ref="C150:D150"/>
    <mergeCell ref="E150:I150"/>
    <mergeCell ref="C151:D151"/>
    <mergeCell ref="E151:I151"/>
    <mergeCell ref="C152:D152"/>
    <mergeCell ref="E152:I152"/>
    <mergeCell ref="C153:D153"/>
    <mergeCell ref="E153:I153"/>
    <mergeCell ref="C154:D154"/>
    <mergeCell ref="E154:I154"/>
    <mergeCell ref="C155:D155"/>
    <mergeCell ref="E155:I155"/>
    <mergeCell ref="C156:D156"/>
    <mergeCell ref="E156:I156"/>
    <mergeCell ref="C157:D157"/>
    <mergeCell ref="E157:I157"/>
    <mergeCell ref="C158:D158"/>
    <mergeCell ref="E158:I158"/>
    <mergeCell ref="C159:D159"/>
    <mergeCell ref="E159:I159"/>
    <mergeCell ref="C160:D160"/>
    <mergeCell ref="E160:I160"/>
    <mergeCell ref="C161:D161"/>
    <mergeCell ref="E161:I161"/>
    <mergeCell ref="C162:D162"/>
    <mergeCell ref="E162:I162"/>
    <mergeCell ref="C163:D163"/>
    <mergeCell ref="E163:I163"/>
    <mergeCell ref="C164:D164"/>
    <mergeCell ref="E164:I164"/>
    <mergeCell ref="C165:D165"/>
    <mergeCell ref="E165:I165"/>
    <mergeCell ref="C166:D166"/>
    <mergeCell ref="E166:I166"/>
    <mergeCell ref="C167:D167"/>
    <mergeCell ref="E167:I167"/>
    <mergeCell ref="C168:D168"/>
    <mergeCell ref="E168:I168"/>
    <mergeCell ref="C169:D169"/>
    <mergeCell ref="E169:I169"/>
    <mergeCell ref="C170:D170"/>
    <mergeCell ref="E170:I170"/>
    <mergeCell ref="C171:D171"/>
    <mergeCell ref="E171:I171"/>
    <mergeCell ref="C172:D172"/>
    <mergeCell ref="E172:I172"/>
    <mergeCell ref="C173:D173"/>
    <mergeCell ref="E173:I173"/>
    <mergeCell ref="C174:D174"/>
    <mergeCell ref="E174:I174"/>
    <mergeCell ref="C175:D175"/>
    <mergeCell ref="E175:I175"/>
    <mergeCell ref="C176:D176"/>
    <mergeCell ref="E176:I176"/>
    <mergeCell ref="C177:D177"/>
    <mergeCell ref="E177:I177"/>
    <mergeCell ref="C178:D178"/>
    <mergeCell ref="E178:I178"/>
    <mergeCell ref="C179:D179"/>
    <mergeCell ref="E179:I179"/>
    <mergeCell ref="C180:D180"/>
    <mergeCell ref="E180:I180"/>
    <mergeCell ref="C181:D181"/>
    <mergeCell ref="E181:I181"/>
    <mergeCell ref="C182:D182"/>
    <mergeCell ref="E182:I182"/>
    <mergeCell ref="C183:D183"/>
    <mergeCell ref="E183:I183"/>
    <mergeCell ref="C184:D184"/>
    <mergeCell ref="E184:I184"/>
    <mergeCell ref="C185:D185"/>
    <mergeCell ref="E185:I185"/>
    <mergeCell ref="C186:D186"/>
    <mergeCell ref="E186:I186"/>
    <mergeCell ref="C187:D187"/>
    <mergeCell ref="E187:I187"/>
    <mergeCell ref="C188:D188"/>
    <mergeCell ref="E188:I188"/>
    <mergeCell ref="C189:D189"/>
    <mergeCell ref="E189:I189"/>
    <mergeCell ref="C190:D190"/>
    <mergeCell ref="E190:I190"/>
    <mergeCell ref="C191:D191"/>
    <mergeCell ref="E191:I191"/>
    <mergeCell ref="C192:D192"/>
    <mergeCell ref="E192:I192"/>
    <mergeCell ref="C193:D193"/>
    <mergeCell ref="E193:I193"/>
    <mergeCell ref="C194:D194"/>
    <mergeCell ref="E194:I194"/>
    <mergeCell ref="C195:D195"/>
    <mergeCell ref="E195:I195"/>
    <mergeCell ref="C196:D196"/>
    <mergeCell ref="E196:I196"/>
    <mergeCell ref="C197:D197"/>
    <mergeCell ref="E197:I197"/>
    <mergeCell ref="C198:D198"/>
    <mergeCell ref="E198:I198"/>
    <mergeCell ref="C199:D199"/>
    <mergeCell ref="E199:I199"/>
    <mergeCell ref="C200:D200"/>
    <mergeCell ref="E200:I200"/>
    <mergeCell ref="C201:D201"/>
    <mergeCell ref="E201:I201"/>
    <mergeCell ref="C202:D202"/>
    <mergeCell ref="E202:I202"/>
    <mergeCell ref="C203:D203"/>
    <mergeCell ref="E203:I203"/>
    <mergeCell ref="C204:D204"/>
    <mergeCell ref="E204:I204"/>
    <mergeCell ref="C205:D205"/>
    <mergeCell ref="E205:I205"/>
    <mergeCell ref="C206:D206"/>
    <mergeCell ref="E206:I206"/>
    <mergeCell ref="C207:D207"/>
    <mergeCell ref="E207:I207"/>
    <mergeCell ref="C208:D208"/>
    <mergeCell ref="E208:I208"/>
    <mergeCell ref="C209:D209"/>
    <mergeCell ref="E209:I209"/>
    <mergeCell ref="C210:D210"/>
    <mergeCell ref="E210:I210"/>
    <mergeCell ref="C211:D211"/>
    <mergeCell ref="E211:I211"/>
    <mergeCell ref="C212:D212"/>
    <mergeCell ref="E212:I212"/>
    <mergeCell ref="C213:D213"/>
    <mergeCell ref="E213:I213"/>
    <mergeCell ref="C214:D214"/>
    <mergeCell ref="E214:I214"/>
    <mergeCell ref="C215:D215"/>
    <mergeCell ref="E215:I215"/>
    <mergeCell ref="C216:D216"/>
    <mergeCell ref="E216:I216"/>
    <mergeCell ref="C217:D217"/>
    <mergeCell ref="E217:I217"/>
    <mergeCell ref="C218:D218"/>
    <mergeCell ref="E218:I218"/>
    <mergeCell ref="C219:D219"/>
    <mergeCell ref="E219:I219"/>
    <mergeCell ref="C220:D220"/>
    <mergeCell ref="E220:I220"/>
    <mergeCell ref="C221:D221"/>
    <mergeCell ref="E221:I221"/>
    <mergeCell ref="C222:D222"/>
    <mergeCell ref="E222:I222"/>
    <mergeCell ref="C223:D223"/>
    <mergeCell ref="E223:I223"/>
    <mergeCell ref="C224:D224"/>
    <mergeCell ref="E224:I224"/>
    <mergeCell ref="C225:D225"/>
    <mergeCell ref="E225:I225"/>
    <mergeCell ref="C226:D226"/>
    <mergeCell ref="E226:I226"/>
    <mergeCell ref="C227:D227"/>
    <mergeCell ref="E227:I227"/>
    <mergeCell ref="C228:D228"/>
    <mergeCell ref="E228:I228"/>
    <mergeCell ref="C229:D229"/>
    <mergeCell ref="E229:I229"/>
    <mergeCell ref="C230:D230"/>
    <mergeCell ref="E230:I230"/>
    <mergeCell ref="C231:D231"/>
    <mergeCell ref="E231:I231"/>
    <mergeCell ref="C232:D232"/>
    <mergeCell ref="E232:I232"/>
    <mergeCell ref="C233:D233"/>
    <mergeCell ref="E233:I233"/>
    <mergeCell ref="C234:D234"/>
    <mergeCell ref="E234:I234"/>
    <mergeCell ref="C235:D235"/>
    <mergeCell ref="E235:I235"/>
    <mergeCell ref="C236:D236"/>
    <mergeCell ref="E236:I236"/>
    <mergeCell ref="C237:D237"/>
    <mergeCell ref="E237:I237"/>
    <mergeCell ref="C238:D238"/>
    <mergeCell ref="E238:I238"/>
    <mergeCell ref="C239:D239"/>
    <mergeCell ref="E239:I239"/>
    <mergeCell ref="C240:D240"/>
    <mergeCell ref="E240:I240"/>
    <mergeCell ref="C241:D241"/>
    <mergeCell ref="E241:I241"/>
    <mergeCell ref="C242:D242"/>
    <mergeCell ref="E242:I242"/>
    <mergeCell ref="C243:D243"/>
    <mergeCell ref="E243:I243"/>
    <mergeCell ref="C244:D244"/>
    <mergeCell ref="E244:I244"/>
    <mergeCell ref="C245:D245"/>
    <mergeCell ref="E245:I245"/>
    <mergeCell ref="C246:D246"/>
    <mergeCell ref="E246:I246"/>
    <mergeCell ref="C247:D247"/>
    <mergeCell ref="E247:I247"/>
    <mergeCell ref="C248:D248"/>
    <mergeCell ref="E248:I248"/>
    <mergeCell ref="C249:D249"/>
    <mergeCell ref="E249:I249"/>
    <mergeCell ref="C250:D250"/>
    <mergeCell ref="E250:I250"/>
    <mergeCell ref="C251:D251"/>
    <mergeCell ref="E251:I251"/>
    <mergeCell ref="C252:D252"/>
    <mergeCell ref="E252:I252"/>
    <mergeCell ref="C253:D253"/>
    <mergeCell ref="E253:I253"/>
    <mergeCell ref="C254:D254"/>
    <mergeCell ref="E254:I254"/>
    <mergeCell ref="C255:D255"/>
    <mergeCell ref="E255:I255"/>
    <mergeCell ref="C256:D256"/>
    <mergeCell ref="E256:I256"/>
    <mergeCell ref="C257:D257"/>
    <mergeCell ref="E257:I257"/>
    <mergeCell ref="C258:D258"/>
    <mergeCell ref="E258:I258"/>
    <mergeCell ref="C259:D259"/>
    <mergeCell ref="E259:I259"/>
    <mergeCell ref="C260:D260"/>
    <mergeCell ref="E260:I260"/>
    <mergeCell ref="C261:D261"/>
    <mergeCell ref="E261:I261"/>
    <mergeCell ref="C262:D262"/>
    <mergeCell ref="E262:I262"/>
    <mergeCell ref="C263:D263"/>
    <mergeCell ref="E263:I263"/>
    <mergeCell ref="C264:D264"/>
    <mergeCell ref="E264:I264"/>
    <mergeCell ref="C265:D265"/>
    <mergeCell ref="E265:I265"/>
    <mergeCell ref="C266:D266"/>
    <mergeCell ref="E266:I266"/>
    <mergeCell ref="C267:D267"/>
    <mergeCell ref="E267:I267"/>
    <mergeCell ref="C268:D268"/>
    <mergeCell ref="E268:I268"/>
    <mergeCell ref="C269:D269"/>
    <mergeCell ref="E269:I269"/>
    <mergeCell ref="C270:D270"/>
    <mergeCell ref="E270:I270"/>
    <mergeCell ref="C271:D271"/>
    <mergeCell ref="E271:I271"/>
    <mergeCell ref="C272:D272"/>
    <mergeCell ref="E272:I272"/>
    <mergeCell ref="C273:D273"/>
    <mergeCell ref="E273:I273"/>
    <mergeCell ref="C274:D274"/>
    <mergeCell ref="E274:I274"/>
    <mergeCell ref="C275:D275"/>
    <mergeCell ref="E275:I275"/>
    <mergeCell ref="C276:D276"/>
    <mergeCell ref="E276:I276"/>
    <mergeCell ref="C277:D277"/>
    <mergeCell ref="E277:I277"/>
    <mergeCell ref="C278:D278"/>
    <mergeCell ref="E278:I278"/>
    <mergeCell ref="C279:D279"/>
    <mergeCell ref="E279:I279"/>
    <mergeCell ref="C280:D280"/>
    <mergeCell ref="E280:I280"/>
    <mergeCell ref="C281:D281"/>
    <mergeCell ref="E281:I281"/>
    <mergeCell ref="C282:D282"/>
    <mergeCell ref="E282:I282"/>
    <mergeCell ref="C283:D283"/>
    <mergeCell ref="E283:I283"/>
    <mergeCell ref="C284:D284"/>
    <mergeCell ref="E284:I284"/>
    <mergeCell ref="C285:D285"/>
    <mergeCell ref="E285:I285"/>
    <mergeCell ref="C286:D286"/>
    <mergeCell ref="E286:I286"/>
    <mergeCell ref="C287:D287"/>
    <mergeCell ref="E287:I287"/>
    <mergeCell ref="C288:D288"/>
    <mergeCell ref="E288:I288"/>
    <mergeCell ref="C289:D289"/>
    <mergeCell ref="E289:I289"/>
    <mergeCell ref="C290:D290"/>
    <mergeCell ref="E290:I290"/>
    <mergeCell ref="C291:D291"/>
    <mergeCell ref="E291:I291"/>
    <mergeCell ref="C292:D292"/>
    <mergeCell ref="E292:I292"/>
    <mergeCell ref="C293:D293"/>
    <mergeCell ref="E293:I293"/>
    <mergeCell ref="C294:D294"/>
    <mergeCell ref="E294:I294"/>
    <mergeCell ref="C295:D295"/>
    <mergeCell ref="E295:I295"/>
    <mergeCell ref="C296:D296"/>
    <mergeCell ref="E296:I296"/>
    <mergeCell ref="C297:D297"/>
    <mergeCell ref="E297:I297"/>
    <mergeCell ref="C298:D298"/>
    <mergeCell ref="E298:I298"/>
    <mergeCell ref="C299:D299"/>
    <mergeCell ref="E299:I299"/>
    <mergeCell ref="C300:D300"/>
    <mergeCell ref="E300:I300"/>
    <mergeCell ref="C301:D301"/>
    <mergeCell ref="E301:I301"/>
    <mergeCell ref="C302:D302"/>
    <mergeCell ref="E302:I302"/>
    <mergeCell ref="C303:D303"/>
    <mergeCell ref="E303:I303"/>
    <mergeCell ref="C304:D304"/>
    <mergeCell ref="E304:I304"/>
    <mergeCell ref="C305:D305"/>
    <mergeCell ref="E305:I305"/>
    <mergeCell ref="C306:D306"/>
    <mergeCell ref="E306:I306"/>
    <mergeCell ref="C307:D307"/>
    <mergeCell ref="E307:I307"/>
    <mergeCell ref="C308:D308"/>
    <mergeCell ref="E308:I308"/>
    <mergeCell ref="C309:D309"/>
    <mergeCell ref="E309:I309"/>
    <mergeCell ref="C310:D310"/>
    <mergeCell ref="E310:I310"/>
    <mergeCell ref="C311:D311"/>
    <mergeCell ref="E311:I311"/>
    <mergeCell ref="C312:D312"/>
    <mergeCell ref="E312:I312"/>
    <mergeCell ref="C313:D313"/>
    <mergeCell ref="E313:I313"/>
    <mergeCell ref="C314:D314"/>
    <mergeCell ref="E314:I314"/>
    <mergeCell ref="C315:D315"/>
    <mergeCell ref="E315:I315"/>
    <mergeCell ref="C316:D316"/>
    <mergeCell ref="E316:I316"/>
    <mergeCell ref="C317:D317"/>
    <mergeCell ref="E317:I317"/>
    <mergeCell ref="C318:D318"/>
    <mergeCell ref="E318:I318"/>
    <mergeCell ref="C319:D319"/>
    <mergeCell ref="E319:I319"/>
    <mergeCell ref="C320:D320"/>
    <mergeCell ref="E320:I320"/>
    <mergeCell ref="C321:D321"/>
    <mergeCell ref="E321:I321"/>
    <mergeCell ref="C322:D322"/>
    <mergeCell ref="E322:I322"/>
    <mergeCell ref="C323:D323"/>
    <mergeCell ref="E323:I323"/>
    <mergeCell ref="C324:D324"/>
    <mergeCell ref="E324:I324"/>
    <mergeCell ref="C325:D325"/>
    <mergeCell ref="E325:I325"/>
    <mergeCell ref="C326:D326"/>
    <mergeCell ref="E326:I326"/>
    <mergeCell ref="C327:D327"/>
    <mergeCell ref="E327:I327"/>
    <mergeCell ref="C328:D328"/>
    <mergeCell ref="E328:I328"/>
    <mergeCell ref="C329:D329"/>
    <mergeCell ref="E329:I329"/>
    <mergeCell ref="C330:D330"/>
    <mergeCell ref="E330:I330"/>
    <mergeCell ref="C331:D331"/>
    <mergeCell ref="E331:I331"/>
    <mergeCell ref="C332:D332"/>
    <mergeCell ref="E332:I332"/>
    <mergeCell ref="C333:D333"/>
    <mergeCell ref="E333:I333"/>
    <mergeCell ref="C334:D334"/>
    <mergeCell ref="E334:I334"/>
    <mergeCell ref="C335:D335"/>
    <mergeCell ref="E335:I335"/>
    <mergeCell ref="C336:D336"/>
    <mergeCell ref="E336:I336"/>
    <mergeCell ref="C337:D337"/>
    <mergeCell ref="E337:I337"/>
    <mergeCell ref="C338:D338"/>
    <mergeCell ref="E338:I338"/>
    <mergeCell ref="C339:D339"/>
    <mergeCell ref="E339:I339"/>
    <mergeCell ref="C340:D340"/>
    <mergeCell ref="E340:I340"/>
    <mergeCell ref="C341:D341"/>
    <mergeCell ref="E341:I341"/>
    <mergeCell ref="C342:D342"/>
    <mergeCell ref="E342:I342"/>
    <mergeCell ref="C343:D343"/>
    <mergeCell ref="E343:I343"/>
    <mergeCell ref="C344:D344"/>
    <mergeCell ref="E344:I344"/>
    <mergeCell ref="C345:D345"/>
    <mergeCell ref="E345:I345"/>
    <mergeCell ref="C346:D346"/>
    <mergeCell ref="E346:I346"/>
    <mergeCell ref="C347:D347"/>
    <mergeCell ref="E347:I347"/>
    <mergeCell ref="C348:D348"/>
    <mergeCell ref="E348:I348"/>
    <mergeCell ref="C349:D349"/>
    <mergeCell ref="E349:I349"/>
    <mergeCell ref="C350:D350"/>
    <mergeCell ref="E350:I350"/>
    <mergeCell ref="C351:D351"/>
    <mergeCell ref="E351:I351"/>
    <mergeCell ref="C352:D352"/>
    <mergeCell ref="E352:I352"/>
    <mergeCell ref="C353:D353"/>
    <mergeCell ref="E353:I353"/>
    <mergeCell ref="C354:D354"/>
    <mergeCell ref="E354:I354"/>
    <mergeCell ref="C355:D355"/>
    <mergeCell ref="E355:I355"/>
    <mergeCell ref="C356:D356"/>
    <mergeCell ref="E356:I356"/>
    <mergeCell ref="C357:D357"/>
    <mergeCell ref="E357:I357"/>
    <mergeCell ref="C358:D358"/>
    <mergeCell ref="E358:I358"/>
    <mergeCell ref="C359:D359"/>
    <mergeCell ref="E359:I359"/>
    <mergeCell ref="C360:D360"/>
    <mergeCell ref="E360:I360"/>
    <mergeCell ref="C361:D361"/>
    <mergeCell ref="E361:I361"/>
    <mergeCell ref="C362:D362"/>
    <mergeCell ref="E362:I362"/>
    <mergeCell ref="C363:D363"/>
    <mergeCell ref="E363:I363"/>
    <mergeCell ref="C364:D364"/>
    <mergeCell ref="E364:I364"/>
    <mergeCell ref="C365:D365"/>
    <mergeCell ref="E365:I365"/>
    <mergeCell ref="C366:D366"/>
    <mergeCell ref="E366:I366"/>
    <mergeCell ref="C367:D367"/>
    <mergeCell ref="E367:I367"/>
    <mergeCell ref="C368:D368"/>
    <mergeCell ref="E368:I368"/>
    <mergeCell ref="C369:D369"/>
    <mergeCell ref="E369:I369"/>
    <mergeCell ref="A370:J370"/>
    <mergeCell ref="C371:D371"/>
    <mergeCell ref="E371:I371"/>
    <mergeCell ref="C372:D372"/>
    <mergeCell ref="E372:I372"/>
    <mergeCell ref="C373:D373"/>
    <mergeCell ref="E373:I373"/>
    <mergeCell ref="C374:D374"/>
    <mergeCell ref="E374:I374"/>
    <mergeCell ref="C375:D375"/>
    <mergeCell ref="E375:I375"/>
    <mergeCell ref="C376:D376"/>
    <mergeCell ref="E376:I376"/>
    <mergeCell ref="C377:D377"/>
    <mergeCell ref="E377:I377"/>
    <mergeCell ref="C378:D378"/>
    <mergeCell ref="E378:I378"/>
    <mergeCell ref="C379:D379"/>
    <mergeCell ref="E379:I379"/>
    <mergeCell ref="C380:D380"/>
    <mergeCell ref="E380:I380"/>
    <mergeCell ref="C381:D381"/>
    <mergeCell ref="E381:I381"/>
    <mergeCell ref="C382:D382"/>
    <mergeCell ref="E382:I382"/>
    <mergeCell ref="C383:D383"/>
    <mergeCell ref="E383:I383"/>
    <mergeCell ref="C384:D384"/>
    <mergeCell ref="E384:I384"/>
    <mergeCell ref="C385:D385"/>
    <mergeCell ref="E385:I385"/>
    <mergeCell ref="C386:D386"/>
    <mergeCell ref="E386:I386"/>
    <mergeCell ref="C387:D387"/>
    <mergeCell ref="E387:I387"/>
    <mergeCell ref="C388:D388"/>
    <mergeCell ref="E388:I388"/>
    <mergeCell ref="C389:D389"/>
    <mergeCell ref="E389:I389"/>
    <mergeCell ref="C390:D390"/>
    <mergeCell ref="E390:I390"/>
    <mergeCell ref="C391:D391"/>
    <mergeCell ref="E391:I391"/>
    <mergeCell ref="C392:D392"/>
    <mergeCell ref="E392:I392"/>
    <mergeCell ref="C393:D393"/>
    <mergeCell ref="E393:I393"/>
    <mergeCell ref="C394:D394"/>
    <mergeCell ref="E394:I394"/>
    <mergeCell ref="C395:D395"/>
    <mergeCell ref="E395:I395"/>
    <mergeCell ref="C396:D396"/>
    <mergeCell ref="E396:I396"/>
    <mergeCell ref="C397:D397"/>
    <mergeCell ref="E397:I397"/>
    <mergeCell ref="C398:D398"/>
    <mergeCell ref="E398:I398"/>
    <mergeCell ref="C399:D399"/>
    <mergeCell ref="E399:I399"/>
    <mergeCell ref="C400:D400"/>
    <mergeCell ref="E400:I400"/>
    <mergeCell ref="C401:D401"/>
    <mergeCell ref="E401:I401"/>
    <mergeCell ref="C402:D402"/>
    <mergeCell ref="E402:I402"/>
    <mergeCell ref="C403:D403"/>
    <mergeCell ref="E403:I403"/>
    <mergeCell ref="C404:D404"/>
    <mergeCell ref="E404:I404"/>
    <mergeCell ref="C405:D405"/>
    <mergeCell ref="E405:I405"/>
    <mergeCell ref="C406:D406"/>
    <mergeCell ref="E406:I406"/>
    <mergeCell ref="C407:D407"/>
    <mergeCell ref="E407:I407"/>
    <mergeCell ref="C408:D408"/>
    <mergeCell ref="E408:I408"/>
    <mergeCell ref="C409:D409"/>
    <mergeCell ref="E409:I409"/>
    <mergeCell ref="C410:D410"/>
    <mergeCell ref="E410:I410"/>
    <mergeCell ref="C411:D411"/>
    <mergeCell ref="E411:I411"/>
    <mergeCell ref="C412:D412"/>
    <mergeCell ref="E412:I412"/>
    <mergeCell ref="C413:D413"/>
    <mergeCell ref="E413:I413"/>
    <mergeCell ref="C414:D414"/>
    <mergeCell ref="E414:I414"/>
    <mergeCell ref="C415:D415"/>
    <mergeCell ref="E415:I415"/>
    <mergeCell ref="C416:D416"/>
    <mergeCell ref="E416:I416"/>
    <mergeCell ref="C417:D417"/>
    <mergeCell ref="E417:I417"/>
    <mergeCell ref="C418:D418"/>
    <mergeCell ref="E418:I418"/>
    <mergeCell ref="C419:D419"/>
    <mergeCell ref="E419:I419"/>
    <mergeCell ref="C420:D420"/>
    <mergeCell ref="E420:I420"/>
    <mergeCell ref="C421:D421"/>
    <mergeCell ref="E421:I421"/>
    <mergeCell ref="C422:D422"/>
    <mergeCell ref="E422:I422"/>
    <mergeCell ref="C423:D423"/>
    <mergeCell ref="E423:I423"/>
    <mergeCell ref="C424:D424"/>
    <mergeCell ref="E424:I424"/>
    <mergeCell ref="C425:D425"/>
    <mergeCell ref="E425:I425"/>
    <mergeCell ref="C426:D426"/>
    <mergeCell ref="E426:I426"/>
    <mergeCell ref="C427:D427"/>
    <mergeCell ref="E427:I427"/>
    <mergeCell ref="C428:D428"/>
    <mergeCell ref="E428:I428"/>
    <mergeCell ref="C429:D429"/>
    <mergeCell ref="E429:I429"/>
    <mergeCell ref="C430:D430"/>
    <mergeCell ref="E430:I430"/>
    <mergeCell ref="C431:D431"/>
    <mergeCell ref="E431:I431"/>
    <mergeCell ref="C432:D432"/>
    <mergeCell ref="E432:I432"/>
    <mergeCell ref="C433:D433"/>
    <mergeCell ref="E433:I433"/>
    <mergeCell ref="C434:D434"/>
    <mergeCell ref="E434:I434"/>
    <mergeCell ref="C435:D435"/>
    <mergeCell ref="E435:I435"/>
    <mergeCell ref="C436:D436"/>
    <mergeCell ref="E436:I436"/>
    <mergeCell ref="C437:D437"/>
    <mergeCell ref="E437:I437"/>
    <mergeCell ref="C438:D438"/>
    <mergeCell ref="E438:I438"/>
    <mergeCell ref="C439:D439"/>
    <mergeCell ref="E439:I439"/>
    <mergeCell ref="C440:D440"/>
    <mergeCell ref="E440:I440"/>
    <mergeCell ref="C441:D441"/>
    <mergeCell ref="E441:I441"/>
    <mergeCell ref="C442:D442"/>
    <mergeCell ref="E442:I442"/>
    <mergeCell ref="C443:D443"/>
    <mergeCell ref="E443:I443"/>
    <mergeCell ref="C444:D444"/>
    <mergeCell ref="E444:I444"/>
    <mergeCell ref="C445:D445"/>
    <mergeCell ref="E445:I445"/>
    <mergeCell ref="C446:D446"/>
    <mergeCell ref="E446:I446"/>
    <mergeCell ref="C447:D447"/>
    <mergeCell ref="E447:I447"/>
    <mergeCell ref="C448:D448"/>
    <mergeCell ref="E448:I448"/>
    <mergeCell ref="C449:D449"/>
    <mergeCell ref="E449:I449"/>
    <mergeCell ref="C450:D450"/>
    <mergeCell ref="E450:I450"/>
    <mergeCell ref="C451:D451"/>
    <mergeCell ref="E451:I451"/>
    <mergeCell ref="C452:D452"/>
    <mergeCell ref="E452:I452"/>
    <mergeCell ref="C453:D453"/>
    <mergeCell ref="E453:I453"/>
    <mergeCell ref="C454:D454"/>
    <mergeCell ref="E454:I454"/>
    <mergeCell ref="C455:D455"/>
    <mergeCell ref="E455:I455"/>
    <mergeCell ref="C456:D456"/>
    <mergeCell ref="E456:I456"/>
    <mergeCell ref="A457:J457"/>
    <mergeCell ref="C458:D458"/>
    <mergeCell ref="E458:I458"/>
    <mergeCell ref="C459:D459"/>
    <mergeCell ref="E459:I459"/>
    <mergeCell ref="C460:D460"/>
    <mergeCell ref="E460:I460"/>
    <mergeCell ref="C461:D461"/>
    <mergeCell ref="E461:I461"/>
    <mergeCell ref="C462:D462"/>
    <mergeCell ref="E462:I462"/>
    <mergeCell ref="C463:D463"/>
    <mergeCell ref="E463:I463"/>
    <mergeCell ref="C464:D464"/>
    <mergeCell ref="E464:I464"/>
    <mergeCell ref="C465:D465"/>
    <mergeCell ref="E465:I465"/>
    <mergeCell ref="C466:D466"/>
    <mergeCell ref="E466:I466"/>
    <mergeCell ref="C467:D467"/>
    <mergeCell ref="E467:I467"/>
    <mergeCell ref="C468:D468"/>
    <mergeCell ref="E468:I468"/>
    <mergeCell ref="C469:D469"/>
    <mergeCell ref="E469:I469"/>
    <mergeCell ref="C470:D470"/>
    <mergeCell ref="E470:I470"/>
    <mergeCell ref="C471:D471"/>
    <mergeCell ref="E471:I471"/>
    <mergeCell ref="C472:D472"/>
    <mergeCell ref="E472:I472"/>
    <mergeCell ref="C473:D473"/>
    <mergeCell ref="E473:I473"/>
    <mergeCell ref="C474:D474"/>
    <mergeCell ref="E474:I474"/>
    <mergeCell ref="C475:D475"/>
    <mergeCell ref="E475:I475"/>
    <mergeCell ref="C476:D476"/>
    <mergeCell ref="E476:I476"/>
    <mergeCell ref="C477:D477"/>
    <mergeCell ref="E477:I477"/>
    <mergeCell ref="C478:D478"/>
    <mergeCell ref="E478:I478"/>
    <mergeCell ref="C479:D479"/>
    <mergeCell ref="E479:I479"/>
    <mergeCell ref="C480:D480"/>
    <mergeCell ref="E480:I480"/>
    <mergeCell ref="C481:D481"/>
    <mergeCell ref="E481:I481"/>
    <mergeCell ref="C482:D482"/>
    <mergeCell ref="E482:I482"/>
    <mergeCell ref="C483:D483"/>
    <mergeCell ref="E483:I483"/>
    <mergeCell ref="C484:D484"/>
    <mergeCell ref="E484:I484"/>
    <mergeCell ref="C485:D485"/>
    <mergeCell ref="E485:I485"/>
    <mergeCell ref="C486:D486"/>
    <mergeCell ref="E486:I486"/>
    <mergeCell ref="C487:D487"/>
    <mergeCell ref="E487:I487"/>
    <mergeCell ref="C488:D488"/>
    <mergeCell ref="E488:I488"/>
    <mergeCell ref="C489:D489"/>
    <mergeCell ref="E489:I489"/>
    <mergeCell ref="C490:D490"/>
    <mergeCell ref="E490:I490"/>
    <mergeCell ref="C491:D491"/>
    <mergeCell ref="E491:I491"/>
    <mergeCell ref="C492:D492"/>
    <mergeCell ref="E492:I492"/>
    <mergeCell ref="C493:D493"/>
    <mergeCell ref="E493:I493"/>
    <mergeCell ref="C494:D494"/>
    <mergeCell ref="E494:I494"/>
    <mergeCell ref="C495:D495"/>
    <mergeCell ref="E495:I495"/>
    <mergeCell ref="C496:D496"/>
    <mergeCell ref="E496:I496"/>
    <mergeCell ref="C497:D497"/>
    <mergeCell ref="E497:I497"/>
    <mergeCell ref="C498:D498"/>
    <mergeCell ref="E498:I498"/>
    <mergeCell ref="C499:D499"/>
    <mergeCell ref="E499:I499"/>
    <mergeCell ref="C500:D500"/>
    <mergeCell ref="E500:I500"/>
    <mergeCell ref="C501:D501"/>
    <mergeCell ref="E501:I501"/>
    <mergeCell ref="C502:D502"/>
    <mergeCell ref="E502:I502"/>
    <mergeCell ref="C503:D503"/>
    <mergeCell ref="E503:I503"/>
    <mergeCell ref="C504:D504"/>
    <mergeCell ref="E504:I504"/>
    <mergeCell ref="C505:D505"/>
    <mergeCell ref="E505:I505"/>
    <mergeCell ref="C506:D506"/>
    <mergeCell ref="E506:I506"/>
    <mergeCell ref="C507:D507"/>
    <mergeCell ref="E507:I507"/>
    <mergeCell ref="C508:D508"/>
    <mergeCell ref="E508:I508"/>
    <mergeCell ref="C509:D509"/>
    <mergeCell ref="E509:I509"/>
    <mergeCell ref="C510:D510"/>
    <mergeCell ref="E510:I510"/>
    <mergeCell ref="C511:D511"/>
    <mergeCell ref="E511:I511"/>
    <mergeCell ref="C512:D512"/>
    <mergeCell ref="E512:I51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E488" sqref="E488:I488"/>
    </sheetView>
  </sheetViews>
  <sheetFormatPr defaultColWidth="9" defaultRowHeight="14" outlineLevelCol="6"/>
  <cols>
    <col min="1" max="1" width="5" customWidth="1"/>
    <col min="2" max="2" width="68.8833333333333" customWidth="1"/>
    <col min="3" max="3" width="36.1083333333333" customWidth="1"/>
    <col min="4" max="4" width="16.5583333333333" customWidth="1"/>
    <col min="5" max="5" width="30.2166666666667" customWidth="1"/>
    <col min="6" max="7" width="9.10833333333333" customWidth="1"/>
  </cols>
  <sheetData>
    <row r="1" spans="1:7">
      <c r="A1" s="5" t="s">
        <v>1</v>
      </c>
      <c r="B1" s="6" t="s">
        <v>1406</v>
      </c>
      <c r="C1" s="7"/>
      <c r="D1" s="8" t="s">
        <v>1407</v>
      </c>
      <c r="E1" s="5" t="s">
        <v>1408</v>
      </c>
      <c r="F1" s="9" t="s">
        <v>1409</v>
      </c>
    </row>
    <row r="2" spans="1:7">
      <c r="A2" s="10">
        <v>1</v>
      </c>
      <c r="B2" t="s">
        <v>1410</v>
      </c>
      <c r="C2" t="s">
        <v>1411</v>
      </c>
      <c r="D2">
        <f>(9175000-525000)*0.9</f>
        <v>7785000</v>
      </c>
      <c r="E2" s="11" t="s">
        <v>1412</v>
      </c>
      <c r="F2" s="12">
        <f>D2+D3+D4+D5</f>
        <v>10360750</v>
      </c>
    </row>
    <row r="3" spans="1:7">
      <c r="A3" s="13">
        <v>2</v>
      </c>
      <c r="B3" t="s">
        <v>1413</v>
      </c>
      <c r="C3" t="s">
        <v>1414</v>
      </c>
      <c r="D3">
        <f>525000*0.9</f>
        <v>472500</v>
      </c>
      <c r="E3" s="14"/>
      <c r="F3" s="12"/>
    </row>
    <row r="4" spans="1:7">
      <c r="A4" s="10">
        <v>3</v>
      </c>
      <c r="B4" t="s">
        <v>1415</v>
      </c>
      <c r="C4" t="s">
        <v>1416</v>
      </c>
      <c r="D4">
        <v>1578750</v>
      </c>
      <c r="E4" s="14"/>
      <c r="F4" s="12"/>
    </row>
    <row r="5" spans="1:7">
      <c r="A5" s="13">
        <v>4</v>
      </c>
      <c r="B5" t="s">
        <v>1417</v>
      </c>
      <c r="C5" t="s">
        <v>1418</v>
      </c>
      <c r="D5">
        <f>(3625000+500000)*0.1+2240000*0.05</f>
        <v>524500</v>
      </c>
      <c r="E5" s="14"/>
      <c r="F5" s="12"/>
      <c r="G5">
        <v>10330000</v>
      </c>
    </row>
    <row r="6" spans="1:7">
      <c r="A6" s="10">
        <v>5</v>
      </c>
      <c r="B6" t="s">
        <v>1410</v>
      </c>
      <c r="C6" t="s">
        <v>1419</v>
      </c>
      <c r="D6">
        <f>(3625000-1200000)*0.8</f>
        <v>1940000</v>
      </c>
      <c r="E6" s="12" t="s">
        <v>1420</v>
      </c>
      <c r="F6" s="12">
        <f>D6+D7</f>
        <v>2900000</v>
      </c>
      <c r="G6">
        <v>2880000</v>
      </c>
    </row>
    <row r="7" spans="1:7">
      <c r="A7" s="13">
        <v>6</v>
      </c>
      <c r="B7" t="s">
        <v>1413</v>
      </c>
      <c r="C7" t="s">
        <v>1421</v>
      </c>
      <c r="D7">
        <f>1200000*0.8</f>
        <v>960000</v>
      </c>
      <c r="E7" s="12"/>
      <c r="F7" s="12"/>
    </row>
    <row r="8" spans="1:7">
      <c r="A8" s="10">
        <v>7</v>
      </c>
      <c r="B8" t="s">
        <v>1422</v>
      </c>
      <c r="C8" t="s">
        <v>1423</v>
      </c>
      <c r="D8">
        <f>2487500*0.9-2240000*0.05</f>
        <v>2126750</v>
      </c>
      <c r="E8" s="12" t="s">
        <v>1424</v>
      </c>
      <c r="F8" s="12">
        <f>D8</f>
        <v>2126750</v>
      </c>
      <c r="G8">
        <v>2120000</v>
      </c>
    </row>
    <row r="9" spans="1:7">
      <c r="A9" s="13">
        <v>8</v>
      </c>
      <c r="B9" t="s">
        <v>1422</v>
      </c>
      <c r="C9" t="s">
        <v>1425</v>
      </c>
      <c r="D9">
        <f>500000*0.8</f>
        <v>400000</v>
      </c>
      <c r="E9" s="12" t="s">
        <v>1426</v>
      </c>
      <c r="F9" s="12">
        <f>D9</f>
        <v>400000</v>
      </c>
      <c r="G9">
        <v>400000</v>
      </c>
    </row>
    <row r="10" spans="1:7">
      <c r="F10">
        <f>SUM(F2:F9)</f>
        <v>15787500</v>
      </c>
      <c r="G10">
        <f>SUM(G2:G9)</f>
        <v>15730000</v>
      </c>
    </row>
  </sheetData>
  <mergeCells count="5">
    <mergeCell ref="B1:C1"/>
    <mergeCell ref="E2:E5"/>
    <mergeCell ref="E6:E7"/>
    <mergeCell ref="F2:F5"/>
    <mergeCell ref="F6:F7"/>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E488" sqref="E488:I488"/>
    </sheetView>
  </sheetViews>
  <sheetFormatPr defaultColWidth="9" defaultRowHeight="14" outlineLevelRow="4" outlineLevelCol="2"/>
  <cols>
    <col min="2" max="2" width="30.6666666666667" customWidth="1"/>
    <col min="3" max="3" width="19" customWidth="1"/>
  </cols>
  <sheetData>
    <row r="1" spans="1:3">
      <c r="A1" s="1" t="s">
        <v>1</v>
      </c>
      <c r="B1" s="1" t="s">
        <v>1427</v>
      </c>
      <c r="C1" s="1" t="s">
        <v>1407</v>
      </c>
    </row>
    <row r="2" spans="1:3">
      <c r="A2" s="2">
        <v>1</v>
      </c>
      <c r="B2" s="3" t="s">
        <v>511</v>
      </c>
      <c r="C2" s="4"/>
    </row>
    <row r="3" spans="1:3">
      <c r="A3" s="2">
        <v>2</v>
      </c>
      <c r="B3" s="3" t="s">
        <v>533</v>
      </c>
      <c r="C3" s="4"/>
    </row>
    <row r="4" spans="1:3">
      <c r="A4" s="2">
        <v>3</v>
      </c>
      <c r="B4" s="3" t="s">
        <v>192</v>
      </c>
      <c r="C4" s="4"/>
    </row>
    <row r="5" spans="1:3">
      <c r="A5" s="4"/>
      <c r="B5" s="4"/>
      <c r="C5"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sherry king</dc:creator>
  <cp:lastModifiedBy>心随你动</cp:lastModifiedBy>
  <dcterms:created xsi:type="dcterms:W3CDTF">2025-09-23T04:06:00Z</dcterms:created>
  <dcterms:modified xsi:type="dcterms:W3CDTF">2026-06-11T09:09:44Z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5660ED0FB54D47F4BCAD6C42B0B78728_13</vt:lpwstr>
  </property>
  <property fmtid="{D5CDD505-2E9C-101B-9397-08002B2CF9AE}" pid="3" name="KSOProductBuildVer">
    <vt:lpwstr>2052-12.1.0.26375</vt:lpwstr>
  </property>
  <property fmtid="{D5CDD505-2E9C-101B-9397-08002B2CF9AE}" pid="4" name="CalculationRule">
    <vt:i4>0</vt:i4>
  </property>
</Properties>
</file>